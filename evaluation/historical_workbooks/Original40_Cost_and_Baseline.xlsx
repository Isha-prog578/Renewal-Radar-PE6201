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b7aa4e39ee4a18" /></Relationships>
</file>

<file path=xl/workbook.xml><?xml version="1.0" encoding="utf-8"?>
<x:workbook xmlns:x="http://schemas.openxmlformats.org/spreadsheetml/2006/main">
  <x:sheets>
    <x:sheet xmlns:r="http://schemas.openxmlformats.org/officeDocument/2006/relationships" name="Summary" sheetId="1" r:id="R136de960cec74437"/>
    <x:sheet xmlns:r="http://schemas.openxmlformats.org/officeDocument/2006/relationships" name="Held-out details" sheetId="2" r:id="R359b2c3d6f1c4aa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quot;$&quot;0.0000"/>
  </x:numFmts>
  <x:fonts count="5">
    <x:font>
      <x:sz val="11"/>
      <x:name val="Carlito"/>
    </x:font>
    <x:font>
      <x:b/>
      <x:sz val="16"/>
      <x:color rgb="FF163552"/>
      <x:name val="Aptos"/>
    </x:font>
    <x:font>
      <x:sz val="11"/>
      <x:color rgb="FF163552"/>
      <x:name val="Aptos"/>
    </x:font>
    <x:font>
      <x:b/>
      <x:sz val="11"/>
      <x:color rgb="FFFFFFFF"/>
      <x:name val="Aptos"/>
    </x:font>
    <x:font>
      <x:sz val="10"/>
      <x:color rgb="FF163552"/>
      <x:name val="Aptos"/>
    </x:font>
  </x:fonts>
  <x:fills count="4">
    <x:fill>
      <x:patternFill patternType="none"/>
    </x:fill>
    <x:fill>
      <x:patternFill patternType="gray125"/>
    </x:fill>
    <x:fill>
      <x:patternFill patternType="solid">
        <x:fgColor rgb="FF087E83"/>
      </x:patternFill>
    </x:fill>
    <x:fill>
      <x:patternFill patternType="solid">
        <x:fgColor rgb="FFFFF3D6"/>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0"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wrapText="1"/>
    </x:xf>
    <x:xf numFmtId="201" fontId="0" fillId="0" borderId="0" xfId="0" applyNumberFormat="1" applyFont="1" applyFill="1" applyBorder="1"/>
    <x:xf numFmtId="201" fontId="2" fillId="0" borderId="0" xfId="0" applyNumberFormat="1" applyFont="1" applyFill="1" applyBorder="1"/>
    <x:xf numFmtId="201" fontId="2" fillId="0" borderId="0" xfId="0" applyNumberFormat="1" applyFont="1" applyFill="1" applyBorder="1" applyAlignment="1">
      <x:alignment wrapText="1"/>
    </x:xf>
    <x:xf numFmtId="201" fontId="2" fillId="3" borderId="0" xfId="0" applyNumberFormat="1" applyFont="1" applyFill="1" applyBorder="1" applyAlignment="1">
      <x:alignment wrapText="1"/>
    </x:xf>
    <x:xf numFmtId="202" fontId="0" fillId="0" borderId="0" xfId="0" applyNumberFormat="1" applyFont="1" applyFill="1" applyBorder="1"/>
    <x:xf numFmtId="202" fontId="2" fillId="0" borderId="0" xfId="0" applyNumberFormat="1" applyFont="1" applyFill="1" applyBorder="1"/>
    <x:xf numFmtId="202" fontId="2"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8e8796cbe24209" /><Relationship Type="http://schemas.openxmlformats.org/officeDocument/2006/relationships/theme" Target="/xl/theme/theme1.xml" Id="Rf2707b688f284eef" /><Relationship Type="http://schemas.openxmlformats.org/officeDocument/2006/relationships/sharedStrings" Target="/xl/sharedStrings.xml" Id="R4d18fe7b5a654423" /><Relationship Type="http://schemas.openxmlformats.org/officeDocument/2006/relationships/worksheet" Target="/xl/worksheets/sheet1.xml" Id="R136de960cec74437" /><Relationship Type="http://schemas.openxmlformats.org/officeDocument/2006/relationships/worksheet" Target="/xl/worksheets/sheet2.xml" Id="R359b2c3d6f1c4a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0" hidden="0" customWidth="1"/>
    <x:col min="3" max="3" width="43.33000183105469" hidden="0" customWidth="1"/>
    <x:col min="4" max="4" width="13.329999923706055" hidden="0" customWidth="1"/>
    <x:col min="5" max="5" width="47.779998779296875" hidden="0" customWidth="1"/>
  </x:cols>
  <x:sheetData>
    <x:row r="1" ht="32" customHeight="1">
      <x:c r="A1" s="1" t="str">
        <x:v>Renewal Radar baseline comparison and API cost estimate</x:v>
      </x:c>
      <x:c r="B1" s="1"/>
      <x:c r="C1" s="1"/>
      <x:c r="D1" s="1"/>
      <x:c r="E1" s="1"/>
    </x:row>
    <x:row r="2" ht="28" customHeight="1">
      <x:c r="A2" s="3" t="str">
        <x:v>40 held-out contracts. Same 34 eligible binary cases for all methods. Conditional and Unclear reference categories excluded.</x:v>
      </x:c>
      <x:c r="B2" s="3"/>
      <x:c r="C2" s="3"/>
      <x:c r="D2" s="3"/>
      <x:c r="E2" s="3"/>
    </x:row>
    <x:row r="3" ht="28" customHeight="1">
      <x:c r="A3" s="3" t="str">
        <x:v>Keyword baseline added after v6 evaluation. Frozen model outputs and labels unchanged. No new API calls.</x:v>
      </x:c>
      <x:c r="B3" s="3"/>
      <x:c r="C3" s="3"/>
      <x:c r="D3" s="3"/>
      <x:c r="E3" s="3"/>
    </x:row>
    <x:row r="5" ht="40" customHeight="1">
      <x:c r="A5" s="6" t="str">
        <x:v>Method</x:v>
      </x:c>
      <x:c r="B5" s="6" t="str">
        <x:v>Correct</x:v>
      </x:c>
      <x:c r="C5" s="6" t="str">
        <x:v>Eligible</x:v>
      </x:c>
      <x:c r="D5" s="6" t="str">
        <x:v>Agreement</x:v>
      </x:c>
      <x:c r="E5" s="6" t="str">
        <x:v>Scope</x:v>
      </x:c>
    </x:row>
    <x:row r="6" ht="58" customHeight="1">
      <x:c r="A6" s="3" t="str">
        <x:v>Claude Sonnet 4.6 v6</x:v>
      </x:c>
      <x:c r="B6" s="3" t="n">
        <x:f>COUNTIFS('Held-out details'!H6:H45,"Match")</x:f>
        <x:v>34</x:v>
      </x:c>
      <x:c r="C6" s="3" t="n">
        <x:f>COUNTIFS('Held-out details'!D6:D45,"Yes")</x:f>
        <x:v>34</x:v>
      </x:c>
      <x:c r="D6" s="9" t="n">
        <x:f>B6/C6</x:f>
        <x:v>1</x:v>
      </x:c>
      <x:c r="E6" s="3" t="str">
        <x:v>Frozen binary auto-renewal comparison only. Not end-to-end accuracy.</x:v>
      </x:c>
    </x:row>
    <x:row r="7" ht="58" customHeight="1">
      <x:c r="A7" s="3" t="str">
        <x:v>Keyword rule</x:v>
      </x:c>
      <x:c r="B7" s="3" t="n">
        <x:f>COUNTIFS('Held-out details'!G6:G45,"Match")</x:f>
        <x:v>30</x:v>
      </x:c>
      <x:c r="C7" s="3" t="n">
        <x:f>COUNTIFS('Held-out details'!D6:D45,"Yes")</x:f>
        <x:v>34</x:v>
      </x:c>
      <x:c r="D7" s="9" t="n">
        <x:f>B7/C7</x:f>
        <x:v>0.8823529411764706</x:v>
      </x:c>
      <x:c r="E7" s="3" t="str">
        <x:v>Phrase match anywhere in PDF text. No clause interpretation or confidence flag.</x:v>
      </x:c>
    </x:row>
    <x:row r="8" ht="58" customHeight="1">
      <x:c r="A8" s="3" t="str">
        <x:v>Always Yes</x:v>
      </x:c>
      <x:c r="B8" s="3" t="n">
        <x:f>COUNTIFS('Held-out details'!D6:D45,"Yes",'Held-out details'!C6:C45,"Automatic")</x:f>
        <x:v>21</x:v>
      </x:c>
      <x:c r="C8" s="3" t="n">
        <x:f>COUNTIFS('Held-out details'!D6:D45,"Yes")</x:f>
        <x:v>34</x:v>
      </x:c>
      <x:c r="D8" s="9" t="n">
        <x:f>B8/C8</x:f>
        <x:v>0.6176470588235294</x:v>
      </x:c>
      <x:c r="E8" s="3" t="str">
        <x:v>Predict auto-renewal for every eligible contract.</x:v>
      </x:c>
    </x:row>
    <x:row r="11" ht="40" customHeight="1">
      <x:c r="A11" s="6" t="str">
        <x:v>Cost input / assumption</x:v>
      </x:c>
      <x:c r="B11" s="6" t="str">
        <x:v>Value</x:v>
      </x:c>
      <x:c r="C11" s="6" t="str">
        <x:v>Unit / source</x:v>
      </x:c>
    </x:row>
    <x:row r="12" ht="35" customHeight="1">
      <x:c r="A12" s="3" t="str">
        <x:v>Input tokens</x:v>
      </x:c>
      <x:c r="B12" s="12" t="n">
        <x:f>SUM('Held-out details'!I6:I45)</x:f>
        <x:v>699981</x:v>
      </x:c>
      <x:c r="C12" s="3" t="str">
        <x:v>Saved usage across 40 final predictions</x:v>
      </x:c>
    </x:row>
    <x:row r="13" ht="35" customHeight="1">
      <x:c r="A13" s="3" t="str">
        <x:v>Output tokens</x:v>
      </x:c>
      <x:c r="B13" s="12" t="n">
        <x:f>SUM('Held-out details'!J6:J45)</x:f>
        <x:v>32524</x:v>
      </x:c>
      <x:c r="C13" s="3" t="str">
        <x:v>Saved usage across 40 final predictions</x:v>
      </x:c>
    </x:row>
    <x:row r="14" ht="35" customHeight="1">
      <x:c r="A14" s="3" t="str">
        <x:v>Input price</x:v>
      </x:c>
      <x:c r="B14" s="13" t="n">
        <x:v>3</x:v>
      </x:c>
      <x:c r="C14" s="3" t="str">
        <x:v>USD per 1 million tokens</x:v>
      </x:c>
    </x:row>
    <x:row r="15" ht="35" customHeight="1">
      <x:c r="A15" s="3" t="str">
        <x:v>Output price</x:v>
      </x:c>
      <x:c r="B15" s="13" t="n">
        <x:v>15</x:v>
      </x:c>
      <x:c r="C15" s="3" t="str">
        <x:v>USD per 1 million tokens</x:v>
      </x:c>
    </x:row>
    <x:row r="16" ht="35" customHeight="1">
      <x:c r="A16" s="3" t="str">
        <x:v>Contracts processed</x:v>
      </x:c>
      <x:c r="B16" s="13" t="n">
        <x:v>40</x:v>
      </x:c>
      <x:c r="C16" s="3" t="str">
        <x:v>One saved prediction per contract</x:v>
      </x:c>
    </x:row>
    <x:row r="17" ht="35" customHeight="1">
      <x:c r="A17" s="3" t="str">
        <x:v>Portfolio size</x:v>
      </x:c>
      <x:c r="B17" s="13" t="n">
        <x:v>150</x:v>
      </x:c>
      <x:c r="C17" s="3" t="str">
        <x:v>One extraction per similar contract</x:v>
      </x:c>
    </x:row>
    <x:row r="18" ht="35" customHeight="1">
      <x:c r="A18" s="3" t="str">
        <x:v>Price checked</x:v>
      </x:c>
      <x:c r="B18" s="3" t="str">
        <x:v>2026-10-01</x:v>
      </x:c>
      <x:c r="C18" s="3" t="str">
        <x:v>Current standard pricing, not historic bill</x:v>
      </x:c>
    </x:row>
    <x:row r="19" ht="65" customHeight="1">
      <x:c r="A19" s="3" t="str">
        <x:v>Pricing source</x:v>
      </x:c>
      <x:c r="B19" s="3" t="str">
        <x:v>https://openrouter.ai/anthropic/claude-sonnet-4.6/pricing</x:v>
      </x:c>
      <x:c r="C19" s="3" t="str">
        <x:v>OpenRouter official Claude Sonnet 4.6 page</x:v>
      </x:c>
    </x:row>
    <x:row r="22" ht="40" customHeight="1">
      <x:c r="A22" s="6" t="str">
        <x:v>Cost estimate</x:v>
      </x:c>
      <x:c r="B22" s="6" t="str">
        <x:v>USD</x:v>
      </x:c>
      <x:c r="C22" s="6" t="str">
        <x:v>Interpretation</x:v>
      </x:c>
    </x:row>
    <x:row r="23" ht="38" customHeight="1">
      <x:c r="A23" s="3" t="str">
        <x:v>40-contract total</x:v>
      </x:c>
      <x:c r="B23" s="16" t="n">
        <x:f>SUM('Held-out details'!M6:M45)</x:f>
        <x:v>2.587803</x:v>
      </x:c>
      <x:c r="C23" s="3" t="str">
        <x:v>Token-based estimate at standard uncached pricing</x:v>
      </x:c>
    </x:row>
    <x:row r="24" ht="38" customHeight="1">
      <x:c r="A24" s="3" t="str">
        <x:v>Average per contract</x:v>
      </x:c>
      <x:c r="B24" s="16" t="n">
        <x:f>B23/B16</x:f>
        <x:v>0.064695075</x:v>
      </x:c>
      <x:c r="C24" s="3" t="str">
        <x:v>Mean over the 40 saved predictions</x:v>
      </x:c>
    </x:row>
    <x:row r="25" ht="38" customHeight="1">
      <x:c r="A25" s="3" t="str">
        <x:v>150-contract portfolio</x:v>
      </x:c>
      <x:c r="B25" s="16" t="n">
        <x:f>B24*B17</x:f>
        <x:v>9.70426125</x:v>
      </x:c>
      <x:c r="C25" s="3" t="str">
        <x:v>One pass at the same average contract size and output length</x:v>
      </x:c>
    </x:row>
    <x:row r="27" ht="50" customHeight="1">
      <x:c r="A27" s="19" t="str">
        <x:v>Billing limit: cached-input quantities, historical provider charges and billing records were not supplied. This estimate excludes retries, prior prompt experiments, credit-purchase fees, hosting and human review.</x:v>
      </x:c>
      <x:c r="B27" s="19"/>
      <x:c r="C27" s="19"/>
      <x:c r="D27" s="19"/>
      <x:c r="E27" s="19"/>
    </x:row>
    <x:row r="29" ht="42" customHeight="1">
      <x:c r="A29" s="3" t="str">
        <x:v>Keyword rule: Yes if automatically or automatic is followed by a word beginning renew or extend; otherwise No. The fixed regex is shown below. No tuning after measuring its result.</x:v>
      </x:c>
      <x:c r="B29" s="3"/>
      <x:c r="C29" s="3"/>
      <x:c r="D29" s="3"/>
      <x:c r="E29" s="3"/>
    </x:row>
    <x:row r="31" ht="28" customHeight="1">
      <x:c r="A31" s="20" t="str">
        <x:v>\b(?:automatically\s+(?:renew\w*|extend\w*)|automatic\s+(?:renew\w*|extend\w*))</x:v>
      </x:c>
      <x:c r="B31" s="20"/>
      <x:c r="C31" s="20"/>
      <x:c r="D31" s="20"/>
      <x:c r="E31" s="20"/>
    </x:row>
    <x:row r="33" ht="55" customHeight="1">
      <x:c r="A33" s="3" t="str">
        <x:v>Keyword false negatives: IDs 6 DataCall, 13 InMode, 14 Kitov and 33 Steel Vault. Their frozen category is Automatic, but this phrase rule finds no match. Other renewal phrasings, redaction and unrelated mentions can defeat or mislead keyword search.</x:v>
      </x:c>
      <x:c r="B33" s="3"/>
      <x:c r="C33" s="3"/>
      <x:c r="D33" s="3"/>
      <x:c r="E33" s="3"/>
    </x:row>
    <x:row r="35" ht="62" customHeight="1">
      <x:c r="A35" s="3" t="str">
        <x:v>Report wording: On 34 eligible held-out cases, v6 binary agreement was 34/34 (100%), compared with 30/34 (88.2%) for a retrospective keyword baseline and 21/34 (61.8%) for always Yes. Mean token-priced inference cost was approximately US$0.065 per contract, or US$9.70 for one pass over 150 similar contracts.</x:v>
      </x:c>
      <x:c r="B35" s="3"/>
      <x:c r="C35" s="3"/>
      <x:c r="D35" s="3"/>
      <x:c r="E35" s="3"/>
    </x:row>
  </x:sheetData>
  <x:mergeCells>
    <x:mergeCell ref="A1:E1"/>
    <x:mergeCell ref="A2:E2"/>
    <x:mergeCell ref="A3:E3"/>
    <x:mergeCell ref="A27:E27"/>
    <x:mergeCell ref="A29:E29"/>
    <x:mergeCell ref="A31:E31"/>
    <x:mergeCell ref="A33:E33"/>
    <x:mergeCell ref="A35:E3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440000057220459" hidden="0" customWidth="1"/>
    <x:col min="2" max="2" width="34.439998626708984" hidden="0" customWidth="1"/>
    <x:col min="3" max="3" width="17.219999313354492" hidden="0" customWidth="1"/>
    <x:col min="4" max="4" width="11.109999656677246" hidden="0" customWidth="1"/>
    <x:col min="5" max="5" width="13.329999923706055" hidden="0" customWidth="1"/>
    <x:col min="6" max="6" width="60" hidden="0" customWidth="1"/>
    <x:col min="7" max="7" width="10.5600004196167" hidden="0" customWidth="1"/>
    <x:col min="8" max="8" width="10.5600004196167" hidden="0" customWidth="1"/>
    <x:col min="9" max="9" width="11.109999656677246" hidden="0" customWidth="1"/>
    <x:col min="10" max="10" width="11.109999656677246" hidden="0" customWidth="1"/>
    <x:col min="11" max="11" width="11.670000076293945" hidden="0" customWidth="1"/>
    <x:col min="12" max="12" width="11.670000076293945" hidden="0" customWidth="1"/>
    <x:col min="13" max="13" width="13.329999923706055" hidden="0" customWidth="1"/>
    <x:col min="14" max="14" width="25.559999465942383" hidden="0" customWidth="1"/>
  </x:cols>
  <x:sheetData>
    <x:row r="1" ht="32" customHeight="1">
      <x:c r="A1" s="1" t="str">
        <x:v>Held-out baseline predictions and token cost</x:v>
      </x:c>
      <x:c r="B1" s="1"/>
      <x:c r="C1" s="1"/>
      <x:c r="D1" s="1"/>
      <x:c r="E1" s="1"/>
      <x:c r="F1" s="1"/>
      <x:c r="G1" s="1"/>
      <x:c r="H1" s="1"/>
      <x:c r="I1" s="1"/>
      <x:c r="J1" s="1"/>
      <x:c r="K1" s="1"/>
      <x:c r="L1" s="1"/>
      <x:c r="M1" s="1"/>
      <x:c r="N1" s="1"/>
    </x:row>
    <x:row r="2" ht="25" customHeight="1">
      <x:c r="A2" s="2" t="str">
        <x:v>Joined by frozen contract filename. Saved token counts only. No claim of actual billed spend or baseline notice/deadline extraction.</x:v>
      </x:c>
      <x:c r="B2" s="2"/>
      <x:c r="C2" s="2"/>
      <x:c r="D2" s="2"/>
      <x:c r="E2" s="2"/>
      <x:c r="F2" s="2"/>
      <x:c r="G2" s="2"/>
      <x:c r="H2" s="2"/>
      <x:c r="I2" s="2"/>
      <x:c r="J2" s="2"/>
      <x:c r="K2" s="2"/>
      <x:c r="L2" s="2"/>
      <x:c r="M2" s="2"/>
      <x:c r="N2" s="2"/>
    </x:row>
    <x:row r="5" ht="40" customHeight="1">
      <x:c r="A5" s="6" t="str">
        <x:v>ID</x:v>
      </x:c>
      <x:c r="B5" s="6" t="str">
        <x:v>Contract PDF</x:v>
      </x:c>
      <x:c r="C5" s="6" t="str">
        <x:v>Frozen renewal category</x:v>
      </x:c>
      <x:c r="D5" s="6" t="str">
        <x:v>Binary eligible</x:v>
      </x:c>
      <x:c r="E5" s="6" t="str">
        <x:v>Keyword predicts automatic</x:v>
      </x:c>
      <x:c r="F5" s="6" t="str">
        <x:v>Keyword hit excerpt</x:v>
      </x:c>
      <x:c r="G5" s="6" t="str">
        <x:v>Keyword result</x:v>
      </x:c>
      <x:c r="H5" s="6" t="str">
        <x:v>v6 binary result</x:v>
      </x:c>
      <x:c r="I5" s="6" t="str">
        <x:v>Input tokens</x:v>
      </x:c>
      <x:c r="J5" s="6" t="str">
        <x:v>Output tokens</x:v>
      </x:c>
      <x:c r="K5" s="6" t="str">
        <x:v>Input USD</x:v>
      </x:c>
      <x:c r="L5" s="6" t="str">
        <x:v>Output USD</x:v>
      </x:c>
      <x:c r="M5" s="6" t="str">
        <x:v>Total estimated USD</x:v>
      </x:c>
      <x:c r="N5" s="6" t="str">
        <x:v>Keyword interpretation</x:v>
      </x:c>
    </x:row>
    <x:row r="6" ht="100" customHeight="1">
      <x:c r="A6" s="22" t="n">
        <x:v>1</x:v>
      </x:c>
      <x:c r="B6" s="22" t="str">
        <x:v>AlliedEsportsEntertainmentInc_20190815_8-K_EX-10.19_11788293_EX-10.19_Content License Agreement.pdf</x:v>
      </x:c>
      <x:c r="C6" s="22" t="str">
        <x:v>Conditional</x:v>
      </x:c>
      <x:c r="D6" s="22" t="str">
        <x:v>No</x:v>
      </x:c>
      <x:c r="E6" s="22" t="str">
        <x:v>Yes</x:v>
      </x:c>
      <x:c r="F6" s="22" t="str">
        <x:v>minated earlier in accordance with this Agreement. This Agreement shall automatically extend for an additional two (2) years on the same terms herein (“Renewal Term”) provided WPT receives payments greater than twelve millio</x:v>
      </x:c>
      <x:c r="G6" s="22" t="str">
        <x:v>Excluded</x:v>
      </x:c>
      <x:c r="H6" s="22" t="str">
        <x:v>Excluded</x:v>
      </x:c>
      <x:c r="I6" s="23" t="n">
        <x:v>11556</x:v>
      </x:c>
      <x:c r="J6" s="23" t="n">
        <x:v>583</x:v>
      </x:c>
      <x:c r="K6" s="24" t="n">
        <x:f>I6*Summary!$B$14/1000000</x:f>
        <x:v>0.034668</x:v>
      </x:c>
      <x:c r="L6" s="24" t="n">
        <x:f>J6*Summary!$B$15/1000000</x:f>
        <x:v>0.008745</x:v>
      </x:c>
      <x:c r="M6" s="24" t="n">
        <x:f>SUM(K6:L6)</x:f>
        <x:v>0.04341299999999999</x:v>
      </x:c>
      <x:c r="N6" s="22" t="str">
        <x:v>Phrase detected; clause context not interpreted</x:v>
      </x:c>
    </x:row>
    <x:row r="7" ht="100" customHeight="1">
      <x:c r="A7" s="22" t="n">
        <x:v>2</x:v>
      </x:c>
      <x:c r="B7" s="22" t="str">
        <x:v>ArcaUsTreasuryFund_20200207_N-2_EX-99.K5_11971930_EX-99.K5_Development Agreement.pdf</x:v>
      </x:c>
      <x:c r="C7" s="22" t="str">
        <x:v>Conditional</x:v>
      </x:c>
      <x:c r="D7" s="22" t="str">
        <x:v>No</x:v>
      </x:c>
      <x:c r="E7" s="22" t="str">
        <x:v>No</x:v>
      </x:c>
      <x:c r="F7" s="22" t="str">
        <x:v>No keyword match</x:v>
      </x:c>
      <x:c r="G7" s="22" t="str">
        <x:v>Excluded</x:v>
      </x:c>
      <x:c r="H7" s="22" t="str">
        <x:v>Excluded</x:v>
      </x:c>
      <x:c r="I7" s="23" t="n">
        <x:v>5700</x:v>
      </x:c>
      <x:c r="J7" s="23" t="n">
        <x:v>829</x:v>
      </x:c>
      <x:c r="K7" s="24" t="n">
        <x:f>I7*Summary!$B$14/1000000</x:f>
        <x:v>0.0171</x:v>
      </x:c>
      <x:c r="L7" s="24" t="n">
        <x:f>J7*Summary!$B$15/1000000</x:f>
        <x:v>0.012435</x:v>
      </x:c>
      <x:c r="M7" s="24" t="n">
        <x:f>SUM(K7:L7)</x:f>
        <x:v>0.029535</x:v>
      </x:c>
      <x:c r="N7" s="22" t="str">
        <x:v>No phrase match; predicts No</x:v>
      </x:c>
    </x:row>
    <x:row r="8" ht="100" customHeight="1">
      <x:c r="A8" s="22" t="n">
        <x:v>3</x:v>
      </x:c>
      <x:c r="B8" s="22" t="str">
        <x:v>AzulSa_20170303_F-1A_EX-10.3_9943903_EX-10.3_Maintenance Agreement1.pdf</x:v>
      </x:c>
      <x:c r="C8" s="22" t="str">
        <x:v>Unclear</x:v>
      </x:c>
      <x:c r="D8" s="22" t="str">
        <x:v>No</x:v>
      </x:c>
      <x:c r="E8" s="22" t="str">
        <x:v>No</x:v>
      </x:c>
      <x:c r="F8" s="22" t="str">
        <x:v>No keyword match</x:v>
      </x:c>
      <x:c r="G8" s="22" t="str">
        <x:v>Excluded</x:v>
      </x:c>
      <x:c r="H8" s="22" t="str">
        <x:v>Excluded</x:v>
      </x:c>
      <x:c r="I8" s="23" t="n">
        <x:v>79880</x:v>
      </x:c>
      <x:c r="J8" s="23" t="n">
        <x:v>864</x:v>
      </x:c>
      <x:c r="K8" s="24" t="n">
        <x:f>I8*Summary!$B$14/1000000</x:f>
        <x:v>0.23964</x:v>
      </x:c>
      <x:c r="L8" s="24" t="n">
        <x:f>J8*Summary!$B$15/1000000</x:f>
        <x:v>0.01296</x:v>
      </x:c>
      <x:c r="M8" s="24" t="n">
        <x:f>SUM(K8:L8)</x:f>
        <x:v>0.2526</x:v>
      </x:c>
      <x:c r="N8" s="22" t="str">
        <x:v>No phrase match; predicts No</x:v>
      </x:c>
    </x:row>
    <x:row r="9" ht="100" customHeight="1">
      <x:c r="A9" s="22" t="n">
        <x:v>4</x:v>
      </x:c>
      <x:c r="B9" s="22" t="str">
        <x:v>BizzingoInc_20120322_8-K_EX-10.17_7504499_EX-10.17_Endorsement Agreement.pdf</x:v>
      </x:c>
      <x:c r="C9" s="22" t="str">
        <x:v>By agreement/amendment</x:v>
      </x:c>
      <x:c r="D9" s="22" t="str">
        <x:v>Yes</x:v>
      </x:c>
      <x:c r="E9" s="22" t="str">
        <x:v>No</x:v>
      </x:c>
      <x:c r="F9" s="22" t="str">
        <x:v>No keyword match</x:v>
      </x:c>
      <x:c r="G9" s="22" t="str">
        <x:v>Match</x:v>
      </x:c>
      <x:c r="H9" s="22" t="str">
        <x:v>Match</x:v>
      </x:c>
      <x:c r="I9" s="23" t="n">
        <x:v>8360</x:v>
      </x:c>
      <x:c r="J9" s="23" t="n">
        <x:v>674</x:v>
      </x:c>
      <x:c r="K9" s="24" t="n">
        <x:f>I9*Summary!$B$14/1000000</x:f>
        <x:v>0.02508</x:v>
      </x:c>
      <x:c r="L9" s="24" t="n">
        <x:f>J9*Summary!$B$15/1000000</x:f>
        <x:v>0.01011</x:v>
      </x:c>
      <x:c r="M9" s="24" t="n">
        <x:f>SUM(K9:L9)</x:f>
        <x:v>0.03519</x:v>
      </x:c>
      <x:c r="N9" s="22" t="str">
        <x:v>No phrase match; predicts No</x:v>
      </x:c>
    </x:row>
    <x:row r="10" ht="100" customHeight="1">
      <x:c r="A10" s="22" t="n">
        <x:v>5</x:v>
      </x:c>
      <x:c r="B10" s="22" t="str">
        <x:v>CoherusBiosciencesInc_20200227_10-K_EX-10.29_12021376_EX-10.29_Development Agreement.pdf</x:v>
      </x:c>
      <x:c r="C10" s="22" t="str">
        <x:v>Automatic</x:v>
      </x:c>
      <x:c r="D10" s="22" t="str">
        <x:v>Yes</x:v>
      </x:c>
      <x:c r="E10" s="22" t="str">
        <x:v>Yes</x:v>
      </x:c>
      <x:c r="F10" s="22" t="str">
        <x:v>r the First Commercial Sale of the first Licensed Product, and shall thereafter automatically renew for an unlimited period of time unless otherwise terminated in accordance with Section 15.2. 15.2 Termination.</x:v>
      </x:c>
      <x:c r="G10" s="22" t="str">
        <x:v>Match</x:v>
      </x:c>
      <x:c r="H10" s="22" t="str">
        <x:v>Match</x:v>
      </x:c>
      <x:c r="I10" s="23" t="n">
        <x:v>39554</x:v>
      </x:c>
      <x:c r="J10" s="23" t="n">
        <x:v>813</x:v>
      </x:c>
      <x:c r="K10" s="24" t="n">
        <x:f>I10*Summary!$B$14/1000000</x:f>
        <x:v>0.118662</x:v>
      </x:c>
      <x:c r="L10" s="24" t="n">
        <x:f>J10*Summary!$B$15/1000000</x:f>
        <x:v>0.012195</x:v>
      </x:c>
      <x:c r="M10" s="24" t="n">
        <x:f>SUM(K10:L10)</x:f>
        <x:v>0.130857</x:v>
      </x:c>
      <x:c r="N10" s="22" t="str">
        <x:v>Phrase detected; clause context not interpreted</x:v>
      </x:c>
    </x:row>
    <x:row r="11" ht="100" customHeight="1">
      <x:c r="A11" s="22" t="n">
        <x:v>6</x:v>
      </x:c>
      <x:c r="B11" s="22" t="str">
        <x:v>DataCallTechnologies_20060918_SB-2A_EX-10.9_944510_EX-10.9_Content License Agreement.pdf</x:v>
      </x:c>
      <x:c r="C11" s="22" t="str">
        <x:v>Automatic</x:v>
      </x:c>
      <x:c r="D11" s="22" t="str">
        <x:v>Yes</x:v>
      </x:c>
      <x:c r="E11" s="22" t="str">
        <x:v>No</x:v>
      </x:c>
      <x:c r="F11" s="22" t="str">
        <x:v>No keyword match</x:v>
      </x:c>
      <x:c r="G11" s="22" t="str">
        <x:v>Mismatch</x:v>
      </x:c>
      <x:c r="H11" s="22" t="str">
        <x:v>Match</x:v>
      </x:c>
      <x:c r="I11" s="23" t="n">
        <x:v>5478</x:v>
      </x:c>
      <x:c r="J11" s="23" t="n">
        <x:v>613</x:v>
      </x:c>
      <x:c r="K11" s="24" t="n">
        <x:f>I11*Summary!$B$14/1000000</x:f>
        <x:v>0.016434</x:v>
      </x:c>
      <x:c r="L11" s="24" t="n">
        <x:f>J11*Summary!$B$15/1000000</x:f>
        <x:v>0.009195</x:v>
      </x:c>
      <x:c r="M11" s="24" t="n">
        <x:f>SUM(K11:L11)</x:f>
        <x:v>0.025629</x:v>
      </x:c>
      <x:c r="N11" s="22" t="str">
        <x:v>No phrase match; predicts No</x:v>
      </x:c>
    </x:row>
    <x:row r="12" ht="100" customHeight="1">
      <x:c r="A12" s="22" t="n">
        <x:v>7</x:v>
      </x:c>
      <x:c r="B12" s="22" t="str">
        <x:v>EdietsComInc_20001030_10QSB_EX-10.4_2606646_EX-10.4_Co-Branding Agreement.pdf</x:v>
      </x:c>
      <x:c r="C12" s="22" t="str">
        <x:v>Automatic</x:v>
      </x:c>
      <x:c r="D12" s="22" t="str">
        <x:v>Yes</x:v>
      </x:c>
      <x:c r="E12" s="22" t="str">
        <x:v>Yes</x:v>
      </x:c>
      <x:c r="F12" s="22" t="str">
        <x:v>rs from and after the Effective Date (the "Initial Term"). This agreement shall automatically renew for additional successive terms of twelve (12) months each at the end of the Initial Term ("Renewal Terms"), unless either party notifies t</x:v>
      </x:c>
      <x:c r="G12" s="22" t="str">
        <x:v>Match</x:v>
      </x:c>
      <x:c r="H12" s="22" t="str">
        <x:v>Match</x:v>
      </x:c>
      <x:c r="I12" s="23" t="n">
        <x:v>18141</x:v>
      </x:c>
      <x:c r="J12" s="23" t="n">
        <x:v>771</x:v>
      </x:c>
      <x:c r="K12" s="24" t="n">
        <x:f>I12*Summary!$B$14/1000000</x:f>
        <x:v>0.054423</x:v>
      </x:c>
      <x:c r="L12" s="24" t="n">
        <x:f>J12*Summary!$B$15/1000000</x:f>
        <x:v>0.011565</x:v>
      </x:c>
      <x:c r="M12" s="24" t="n">
        <x:f>SUM(K12:L12)</x:f>
        <x:v>0.065988</x:v>
      </x:c>
      <x:c r="N12" s="22" t="str">
        <x:v>Phrase detected; clause context not interpreted</x:v>
      </x:c>
    </x:row>
    <x:row r="13" ht="100" customHeight="1">
      <x:c r="A13" s="22" t="n">
        <x:v>8</x:v>
      </x:c>
      <x:c r="B13" s="22" t="str">
        <x:v>FuseMedicalInc_20190321_10-K_EX-10.43_11575454_EX-10.43_Distributor Agreement.pdf</x:v>
      </x:c>
      <x:c r="C13" s="22" t="str">
        <x:v>Rolling continuation</x:v>
      </x:c>
      <x:c r="D13" s="22" t="str">
        <x:v>Yes</x:v>
      </x:c>
      <x:c r="E13" s="22" t="str">
        <x:v>No</x:v>
      </x:c>
      <x:c r="F13" s="22" t="str">
        <x:v>No keyword match</x:v>
      </x:c>
      <x:c r="G13" s="22" t="str">
        <x:v>Match</x:v>
      </x:c>
      <x:c r="H13" s="22" t="str">
        <x:v>Match</x:v>
      </x:c>
      <x:c r="I13" s="23" t="n">
        <x:v>11239</x:v>
      </x:c>
      <x:c r="J13" s="23" t="n">
        <x:v>583</x:v>
      </x:c>
      <x:c r="K13" s="24" t="n">
        <x:f>I13*Summary!$B$14/1000000</x:f>
        <x:v>0.033717</x:v>
      </x:c>
      <x:c r="L13" s="24" t="n">
        <x:f>J13*Summary!$B$15/1000000</x:f>
        <x:v>0.008745</x:v>
      </x:c>
      <x:c r="M13" s="24" t="n">
        <x:f>SUM(K13:L13)</x:f>
        <x:v>0.042462</x:v>
      </x:c>
      <x:c r="N13" s="22" t="str">
        <x:v>No phrase match; predicts No</x:v>
      </x:c>
    </x:row>
    <x:row r="14" ht="100" customHeight="1">
      <x:c r="A14" s="22" t="n">
        <x:v>9</x:v>
      </x:c>
      <x:c r="B14" s="22" t="str">
        <x:v>GentechHoldingsInc_20190808_1-A_EX1A-6 MAT CTRCT_11776814_EX1A-6 MAT CTRCT_Distributor Agreement.pdf</x:v>
      </x:c>
      <x:c r="C14" s="22" t="str">
        <x:v>Option</x:v>
      </x:c>
      <x:c r="D14" s="22" t="str">
        <x:v>Yes</x:v>
      </x:c>
      <x:c r="E14" s="22" t="str">
        <x:v>No</x:v>
      </x:c>
      <x:c r="F14" s="22" t="str">
        <x:v>No keyword match</x:v>
      </x:c>
      <x:c r="G14" s="22" t="str">
        <x:v>Match</x:v>
      </x:c>
      <x:c r="H14" s="22" t="str">
        <x:v>Match</x:v>
      </x:c>
      <x:c r="I14" s="23" t="n">
        <x:v>8602</x:v>
      </x:c>
      <x:c r="J14" s="23" t="n">
        <x:v>824</x:v>
      </x:c>
      <x:c r="K14" s="24" t="n">
        <x:f>I14*Summary!$B$14/1000000</x:f>
        <x:v>0.025806</x:v>
      </x:c>
      <x:c r="L14" s="24" t="n">
        <x:f>J14*Summary!$B$15/1000000</x:f>
        <x:v>0.01236</x:v>
      </x:c>
      <x:c r="M14" s="24" t="n">
        <x:f>SUM(K14:L14)</x:f>
        <x:v>0.038166</x:v>
      </x:c>
      <x:c r="N14" s="22" t="str">
        <x:v>No phrase match; predicts No</x:v>
      </x:c>
    </x:row>
    <x:row r="15" ht="100" customHeight="1">
      <x:c r="A15" s="22" t="n">
        <x:v>10</x:v>
      </x:c>
      <x:c r="B15" s="22" t="str">
        <x:v>GlobalTechnologiesGroupInc_20050928_10KSB_EX-10.9_4148808_EX-10.9_Content License Agreement.pdf</x:v>
      </x:c>
      <x:c r="C15" s="22" t="str">
        <x:v>By agreement/amendment</x:v>
      </x:c>
      <x:c r="D15" s="22" t="str">
        <x:v>Yes</x:v>
      </x:c>
      <x:c r="E15" s="22" t="str">
        <x:v>No</x:v>
      </x:c>
      <x:c r="F15" s="22" t="str">
        <x:v>No keyword match</x:v>
      </x:c>
      <x:c r="G15" s="22" t="str">
        <x:v>Match</x:v>
      </x:c>
      <x:c r="H15" s="22" t="str">
        <x:v>Match</x:v>
      </x:c>
      <x:c r="I15" s="23" t="n">
        <x:v>11805</x:v>
      </x:c>
      <x:c r="J15" s="23" t="n">
        <x:v>817</x:v>
      </x:c>
      <x:c r="K15" s="24" t="n">
        <x:f>I15*Summary!$B$14/1000000</x:f>
        <x:v>0.035415</x:v>
      </x:c>
      <x:c r="L15" s="24" t="n">
        <x:f>J15*Summary!$B$15/1000000</x:f>
        <x:v>0.012255</x:v>
      </x:c>
      <x:c r="M15" s="24" t="n">
        <x:f>SUM(K15:L15)</x:f>
        <x:v>0.047670000000000004</x:v>
      </x:c>
      <x:c r="N15" s="22" t="str">
        <x:v>No phrase match; predicts No</x:v>
      </x:c>
    </x:row>
    <x:row r="16" ht="100" customHeight="1">
      <x:c r="A16" s="22" t="n">
        <x:v>11</x:v>
      </x:c>
      <x:c r="B16" s="22" t="str">
        <x:v>GpaqAcquisitionHoldingsInc_20200123_S-4A_EX-10.6_11951677_EX-10.6_License Agreement.pdf</x:v>
      </x:c>
      <x:c r="C16" s="22" t="str">
        <x:v>Automatic</x:v>
      </x:c>
      <x:c r="D16" s="22" t="str">
        <x:v>Yes</x:v>
      </x:c>
      <x:c r="E16" s="22" t="str">
        <x:v>Yes</x:v>
      </x:c>
      <x:c r="F16" s="22" t="str">
        <x:v>bsequent sentence, the “Term”). Thereafter, the agreement shall automatically renew for successive five (5)-year terms, unless either Party gives written notice to the other Party of intent not to renew at l</x:v>
      </x:c>
      <x:c r="G16" s="22" t="str">
        <x:v>Match</x:v>
      </x:c>
      <x:c r="H16" s="22" t="str">
        <x:v>Match</x:v>
      </x:c>
      <x:c r="I16" s="23" t="n">
        <x:v>13953</x:v>
      </x:c>
      <x:c r="J16" s="23" t="n">
        <x:v>859</x:v>
      </x:c>
      <x:c r="K16" s="24" t="n">
        <x:f>I16*Summary!$B$14/1000000</x:f>
        <x:v>0.041859</x:v>
      </x:c>
      <x:c r="L16" s="24" t="n">
        <x:f>J16*Summary!$B$15/1000000</x:f>
        <x:v>0.012885</x:v>
      </x:c>
      <x:c r="M16" s="24" t="n">
        <x:f>SUM(K16:L16)</x:f>
        <x:v>0.054744</x:v>
      </x:c>
      <x:c r="N16" s="22" t="str">
        <x:v>Phrase detected; clause context not interpreted</x:v>
      </x:c>
    </x:row>
    <x:row r="17" ht="100" customHeight="1">
      <x:c r="A17" s="22" t="n">
        <x:v>12</x:v>
      </x:c>
      <x:c r="B17" s="22" t="str">
        <x:v>HfEnterprisesInc_20191223_S-1_EX-10.22_11931299_EX-10.22_Development Agreement.pdf</x:v>
      </x:c>
      <x:c r="C17" s="22" t="str">
        <x:v>Automatic</x:v>
      </x:c>
      <x:c r="D17" s="22" t="str">
        <x:v>Yes</x:v>
      </x:c>
      <x:c r="E17" s="22" t="str">
        <x:v>Yes</x:v>
      </x:c>
      <x:c r="F17" s="22" t="str">
        <x:v>for a period of twelve (12) months (the “Initial Term”). The Initial Term shall automatically renew for one-month periods thereafter unless either party provides 30- days advance notice of termination, unless earlier terminated pursuant to</x:v>
      </x:c>
      <x:c r="G17" s="22" t="str">
        <x:v>Match</x:v>
      </x:c>
      <x:c r="H17" s="22" t="str">
        <x:v>Match</x:v>
      </x:c>
      <x:c r="I17" s="23" t="n">
        <x:v>6930</x:v>
      </x:c>
      <x:c r="J17" s="23" t="n">
        <x:v>694</x:v>
      </x:c>
      <x:c r="K17" s="24" t="n">
        <x:f>I17*Summary!$B$14/1000000</x:f>
        <x:v>0.02079</x:v>
      </x:c>
      <x:c r="L17" s="24" t="n">
        <x:f>J17*Summary!$B$15/1000000</x:f>
        <x:v>0.01041</x:v>
      </x:c>
      <x:c r="M17" s="24" t="n">
        <x:f>SUM(K17:L17)</x:f>
        <x:v>0.0312</x:v>
      </x:c>
      <x:c r="N17" s="22" t="str">
        <x:v>Phrase detected; clause context not interpreted</x:v>
      </x:c>
    </x:row>
    <x:row r="18" ht="100" customHeight="1">
      <x:c r="A18" s="22" t="n">
        <x:v>13</x:v>
      </x:c>
      <x:c r="B18" s="22" t="str">
        <x:v>InmodeLtd_20190729_F-1A_EX-10.9_11743243_EX-10.9_Manufacturing Agreement.pdf</x:v>
      </x:c>
      <x:c r="C18" s="22" t="str">
        <x:v>Automatic</x:v>
      </x:c>
      <x:c r="D18" s="22" t="str">
        <x:v>Yes</x:v>
      </x:c>
      <x:c r="E18" s="22" t="str">
        <x:v>No</x:v>
      </x:c>
      <x:c r="F18" s="22" t="str">
        <x:v>No keyword match</x:v>
      </x:c>
      <x:c r="G18" s="22" t="str">
        <x:v>Mismatch</x:v>
      </x:c>
      <x:c r="H18" s="22" t="str">
        <x:v>Match</x:v>
      </x:c>
      <x:c r="I18" s="23" t="n">
        <x:v>12276</x:v>
      </x:c>
      <x:c r="J18" s="23" t="n">
        <x:v>820</x:v>
      </x:c>
      <x:c r="K18" s="24" t="n">
        <x:f>I18*Summary!$B$14/1000000</x:f>
        <x:v>0.036828</x:v>
      </x:c>
      <x:c r="L18" s="24" t="n">
        <x:f>J18*Summary!$B$15/1000000</x:f>
        <x:v>0.0123</x:v>
      </x:c>
      <x:c r="M18" s="24" t="n">
        <x:f>SUM(K18:L18)</x:f>
        <x:v>0.049128</x:v>
      </x:c>
      <x:c r="N18" s="22" t="str">
        <x:v>No phrase match; predicts No</x:v>
      </x:c>
    </x:row>
    <x:row r="19" ht="100" customHeight="1">
      <x:c r="A19" s="22" t="n">
        <x:v>14</x:v>
      </x:c>
      <x:c r="B19" s="22" t="str">
        <x:v>KitovPharmaLtd_20190326_20-F_EX-4.15_11584449_EX-4.15_Manufacturing Agreement.pdf</x:v>
      </x:c>
      <x:c r="C19" s="22" t="str">
        <x:v>Automatic</x:v>
      </x:c>
      <x:c r="D19" s="22" t="str">
        <x:v>Yes</x:v>
      </x:c>
      <x:c r="E19" s="22" t="str">
        <x:v>No</x:v>
      </x:c>
      <x:c r="F19" s="22" t="str">
        <x:v>No keyword match</x:v>
      </x:c>
      <x:c r="G19" s="22" t="str">
        <x:v>Mismatch</x:v>
      </x:c>
      <x:c r="H19" s="22" t="str">
        <x:v>Match</x:v>
      </x:c>
      <x:c r="I19" s="23" t="n">
        <x:v>17246</x:v>
      </x:c>
      <x:c r="J19" s="23" t="n">
        <x:v>895</x:v>
      </x:c>
      <x:c r="K19" s="24" t="n">
        <x:f>I19*Summary!$B$14/1000000</x:f>
        <x:v>0.051738</x:v>
      </x:c>
      <x:c r="L19" s="24" t="n">
        <x:f>J19*Summary!$B$15/1000000</x:f>
        <x:v>0.013425</x:v>
      </x:c>
      <x:c r="M19" s="24" t="n">
        <x:f>SUM(K19:L19)</x:f>
        <x:v>0.065163</x:v>
      </x:c>
      <x:c r="N19" s="22" t="str">
        <x:v>No phrase match; predicts No</x:v>
      </x:c>
    </x:row>
    <x:row r="20" ht="100" customHeight="1">
      <x:c r="A20" s="22" t="n">
        <x:v>15</x:v>
      </x:c>
      <x:c r="B20" s="22" t="str">
        <x:v>LeadersonlineInc_20000427_S-1A_EX-10.8_4991089_EX-10.8_Co-Branding Agreement.pdf</x:v>
      </x:c>
      <x:c r="C20" s="22" t="str">
        <x:v>Option</x:v>
      </x:c>
      <x:c r="D20" s="22" t="str">
        <x:v>Yes</x:v>
      </x:c>
      <x:c r="E20" s="22" t="str">
        <x:v>No</x:v>
      </x:c>
      <x:c r="F20" s="22" t="str">
        <x:v>No keyword match</x:v>
      </x:c>
      <x:c r="G20" s="22" t="str">
        <x:v>Match</x:v>
      </x:c>
      <x:c r="H20" s="22" t="str">
        <x:v>Match</x:v>
      </x:c>
      <x:c r="I20" s="23" t="n">
        <x:v>15860</x:v>
      </x:c>
      <x:c r="J20" s="23" t="n">
        <x:v>808</x:v>
      </x:c>
      <x:c r="K20" s="24" t="n">
        <x:f>I20*Summary!$B$14/1000000</x:f>
        <x:v>0.04758</x:v>
      </x:c>
      <x:c r="L20" s="24" t="n">
        <x:f>J20*Summary!$B$15/1000000</x:f>
        <x:v>0.01212</x:v>
      </x:c>
      <x:c r="M20" s="24" t="n">
        <x:f>SUM(K20:L20)</x:f>
        <x:v>0.059699999999999996</x:v>
      </x:c>
      <x:c r="N20" s="22" t="str">
        <x:v>No phrase match; predicts No</x:v>
      </x:c>
    </x:row>
    <x:row r="21" ht="100" customHeight="1">
      <x:c r="A21" s="22" t="n">
        <x:v>16</x:v>
      </x:c>
      <x:c r="B21" s="22" t="str">
        <x:v>LegacyEducationAllianceInc_20141110_8-K_EX-10.9_8828866_EX-10.9_Endorsement Agreement.pdf</x:v>
      </x:c>
      <x:c r="C21" s="22" t="str">
        <x:v>By agreement/amendment</x:v>
      </x:c>
      <x:c r="D21" s="22" t="str">
        <x:v>Yes</x:v>
      </x:c>
      <x:c r="E21" s="22" t="str">
        <x:v>No</x:v>
      </x:c>
      <x:c r="F21" s="22" t="str">
        <x:v>No keyword match</x:v>
      </x:c>
      <x:c r="G21" s="22" t="str">
        <x:v>Match</x:v>
      </x:c>
      <x:c r="H21" s="22" t="str">
        <x:v>Match</x:v>
      </x:c>
      <x:c r="I21" s="23" t="n">
        <x:v>7216</x:v>
      </x:c>
      <x:c r="J21" s="23" t="n">
        <x:v>970</x:v>
      </x:c>
      <x:c r="K21" s="24" t="n">
        <x:f>I21*Summary!$B$14/1000000</x:f>
        <x:v>0.021648</x:v>
      </x:c>
      <x:c r="L21" s="24" t="n">
        <x:f>J21*Summary!$B$15/1000000</x:f>
        <x:v>0.01455</x:v>
      </x:c>
      <x:c r="M21" s="24" t="n">
        <x:f>SUM(K21:L21)</x:f>
        <x:v>0.036198</x:v>
      </x:c>
      <x:c r="N21" s="22" t="str">
        <x:v>No phrase match; predicts No</x:v>
      </x:c>
    </x:row>
    <x:row r="22" ht="100" customHeight="1">
      <x:c r="A22" s="22" t="n">
        <x:v>17</x:v>
      </x:c>
      <x:c r="B22" s="22" t="str">
        <x:v>LegacyEducationAllianceInc_20200330_10-K_EX-10.18_12090678_EX-10.18_Development Agreement.pdf</x:v>
      </x:c>
      <x:c r="C22" s="22" t="str">
        <x:v>Automatic</x:v>
      </x:c>
      <x:c r="D22" s="22" t="str">
        <x:v>Yes</x:v>
      </x:c>
      <x:c r="E22" s="22" t="str">
        <x:v>Yes</x:v>
      </x:c>
      <x:c r="F22" s="22" t="str">
        <x:v>oussa. 1.12 The term “Term” shall mean an initial term of five years, automatically renewable thereafter for successive 5-year terms unless either party provides prior written notice of termination not less than 90 days prior to the</x:v>
      </x:c>
      <x:c r="G22" s="22" t="str">
        <x:v>Match</x:v>
      </x:c>
      <x:c r="H22" s="22" t="str">
        <x:v>Match</x:v>
      </x:c>
      <x:c r="I22" s="23" t="n">
        <x:v>14571</x:v>
      </x:c>
      <x:c r="J22" s="23" t="n">
        <x:v>693</x:v>
      </x:c>
      <x:c r="K22" s="24" t="n">
        <x:f>I22*Summary!$B$14/1000000</x:f>
        <x:v>0.043713</x:v>
      </x:c>
      <x:c r="L22" s="24" t="n">
        <x:f>J22*Summary!$B$15/1000000</x:f>
        <x:v>0.010395</x:v>
      </x:c>
      <x:c r="M22" s="24" t="n">
        <x:f>SUM(K22:L22)</x:f>
        <x:v>0.054108</x:v>
      </x:c>
      <x:c r="N22" s="22" t="str">
        <x:v>Phrase detected; clause context not interpreted</x:v>
      </x:c>
    </x:row>
    <x:row r="23" ht="100" customHeight="1">
      <x:c r="A23" s="22" t="n">
        <x:v>18</x:v>
      </x:c>
      <x:c r="B23" s="22" t="str">
        <x:v>MidwestEnergyEmissionsCorp_20080604_8-K_EX-10.2_3093976_EX-10.2_Content License Agreement.pdf</x:v>
      </x:c>
      <x:c r="C23" s="22" t="str">
        <x:v>Automatic</x:v>
      </x:c>
      <x:c r="D23" s="22" t="str">
        <x:v>Yes</x:v>
      </x:c>
      <x:c r="E23" s="22" t="str">
        <x:v>Yes</x:v>
      </x:c>
      <x:c r="F23" s="22" t="str">
        <x:v>for an initial term of two (2) years. This Agreement shall be automatically renewed for additional extended terms each of two (2) years duration unless either party notifies the other in writing of its inte</x:v>
      </x:c>
      <x:c r="G23" s="22" t="str">
        <x:v>Match</x:v>
      </x:c>
      <x:c r="H23" s="22" t="str">
        <x:v>Match</x:v>
      </x:c>
      <x:c r="I23" s="23" t="n">
        <x:v>10790</x:v>
      </x:c>
      <x:c r="J23" s="23" t="n">
        <x:v>1062</x:v>
      </x:c>
      <x:c r="K23" s="24" t="n">
        <x:f>I23*Summary!$B$14/1000000</x:f>
        <x:v>0.03237</x:v>
      </x:c>
      <x:c r="L23" s="24" t="n">
        <x:f>J23*Summary!$B$15/1000000</x:f>
        <x:v>0.01593</x:v>
      </x:c>
      <x:c r="M23" s="24" t="n">
        <x:f>SUM(K23:L23)</x:f>
        <x:v>0.0483</x:v>
      </x:c>
      <x:c r="N23" s="22" t="str">
        <x:v>Phrase detected; clause context not interpreted</x:v>
      </x:c>
    </x:row>
    <x:row r="24" ht="100" customHeight="1">
      <x:c r="A24" s="22" t="n">
        <x:v>19</x:v>
      </x:c>
      <x:c r="B24" s="22" t="str">
        <x:v>MphaseTechnologiesInc_20030911_10-K_EX-10.15_1560667_EX-10.15_Co-Branding Agreement.pdf</x:v>
      </x:c>
      <x:c r="C24" s="22" t="str">
        <x:v>Option</x:v>
      </x:c>
      <x:c r="D24" s="22" t="str">
        <x:v>Yes</x:v>
      </x:c>
      <x:c r="E24" s="22" t="str">
        <x:v>No</x:v>
      </x:c>
      <x:c r="F24" s="22" t="str">
        <x:v>No keyword match</x:v>
      </x:c>
      <x:c r="G24" s="22" t="str">
        <x:v>Match</x:v>
      </x:c>
      <x:c r="H24" s="22" t="str">
        <x:v>Match</x:v>
      </x:c>
      <x:c r="I24" s="23" t="n">
        <x:v>4418</x:v>
      </x:c>
      <x:c r="J24" s="23" t="n">
        <x:v>852</x:v>
      </x:c>
      <x:c r="K24" s="24" t="n">
        <x:f>I24*Summary!$B$14/1000000</x:f>
        <x:v>0.013254</x:v>
      </x:c>
      <x:c r="L24" s="24" t="n">
        <x:f>J24*Summary!$B$15/1000000</x:f>
        <x:v>0.01278</x:v>
      </x:c>
      <x:c r="M24" s="24" t="n">
        <x:f>SUM(K24:L24)</x:f>
        <x:v>0.026034</x:v>
      </x:c>
      <x:c r="N24" s="22" t="str">
        <x:v>No phrase match; predicts No</x:v>
      </x:c>
    </x:row>
    <x:row r="25" ht="100" customHeight="1">
      <x:c r="A25" s="22" t="n">
        <x:v>20</x:v>
      </x:c>
      <x:c r="B25" s="22" t="str">
        <x:v>MusclepharmCorp_20170208_10-KA_EX-10.38_9893581_EX-10.38_Co-Branding Agreement.pdf</x:v>
      </x:c>
      <x:c r="C25" s="22" t="str">
        <x:v>Conditional</x:v>
      </x:c>
      <x:c r="D25" s="22" t="str">
        <x:v>No</x:v>
      </x:c>
      <x:c r="E25" s="22" t="str">
        <x:v>No</x:v>
      </x:c>
      <x:c r="F25" s="22" t="str">
        <x:v>No keyword match</x:v>
      </x:c>
      <x:c r="G25" s="22" t="str">
        <x:v>Excluded</x:v>
      </x:c>
      <x:c r="H25" s="22" t="str">
        <x:v>Excluded</x:v>
      </x:c>
      <x:c r="I25" s="23" t="n">
        <x:v>23895</x:v>
      </x:c>
      <x:c r="J25" s="23" t="n">
        <x:v>965</x:v>
      </x:c>
      <x:c r="K25" s="24" t="n">
        <x:f>I25*Summary!$B$14/1000000</x:f>
        <x:v>0.071685</x:v>
      </x:c>
      <x:c r="L25" s="24" t="n">
        <x:f>J25*Summary!$B$15/1000000</x:f>
        <x:v>0.014475</x:v>
      </x:c>
      <x:c r="M25" s="24" t="n">
        <x:f>SUM(K25:L25)</x:f>
        <x:v>0.08616</x:v>
      </x:c>
      <x:c r="N25" s="22" t="str">
        <x:v>No phrase match; predicts No</x:v>
      </x:c>
    </x:row>
    <x:row r="26" ht="100" customHeight="1">
      <x:c r="A26" s="22" t="n">
        <x:v>21</x:v>
      </x:c>
      <x:c r="B26" s="22" t="str">
        <x:v>NeoformaInc_19991202_S-1A_EX-10.26_5224521_EX-10.26_Co-Branding Agreement.pdf</x:v>
      </x:c>
      <x:c r="C26" s="22" t="str">
        <x:v>Automatic</x:v>
      </x:c>
      <x:c r="D26" s="22" t="str">
        <x:v>Yes</x:v>
      </x:c>
      <x:c r="E26" s="22" t="str">
        <x:v>Yes</x:v>
      </x:c>
      <x:c r="F26" s="22" t="str">
        <x:v>1.41 RENEWAL TERM shall have the meaning ascribed thereto in Section 11.1 [AUTOMATIC RENEWAL]. 1.42 SITE shall mean a site located on the World Wide Web portion of the Internet. 1.43 TERM shall mean the Initial T</x:v>
      </x:c>
      <x:c r="G26" s="22" t="str">
        <x:v>Match</x:v>
      </x:c>
      <x:c r="H26" s="22" t="str">
        <x:v>Match</x:v>
      </x:c>
      <x:c r="I26" s="23" t="n">
        <x:v>26211</x:v>
      </x:c>
      <x:c r="J26" s="23" t="n">
        <x:v>623</x:v>
      </x:c>
      <x:c r="K26" s="24" t="n">
        <x:f>I26*Summary!$B$14/1000000</x:f>
        <x:v>0.078633</x:v>
      </x:c>
      <x:c r="L26" s="24" t="n">
        <x:f>J26*Summary!$B$15/1000000</x:f>
        <x:v>0.009345</x:v>
      </x:c>
      <x:c r="M26" s="24" t="n">
        <x:f>SUM(K26:L26)</x:f>
        <x:v>0.087978</x:v>
      </x:c>
      <x:c r="N26" s="22" t="str">
        <x:v>Phrase detected; clause context not interpreted</x:v>
      </x:c>
    </x:row>
    <x:row r="27" ht="100" customHeight="1">
      <x:c r="A27" s="22" t="n">
        <x:v>22</x:v>
      </x:c>
      <x:c r="B27" s="22" t="str">
        <x:v>PacificapEntertainmentHoldingsInc_20051115_8-KA_EX-1.01_4300894_EX-1.01_Content License Agreement.pdf</x:v>
      </x:c>
      <x:c r="C27" s="22" t="str">
        <x:v>Automatic</x:v>
      </x:c>
      <x:c r="D27" s="22" t="str">
        <x:v>Yes</x:v>
      </x:c>
      <x:c r="E27" s="22" t="str">
        <x:v>Yes</x:v>
      </x:c>
      <x:c r="F27" s="22" t="str">
        <x:v>N Property (the “Initial Term”). After the Initial Term, this Agreement will be automatically renewed for successive additional 3~year periods (“Extension Terms”), unless otherwise terminated by either party by giving notice to the other par</x:v>
      </x:c>
      <x:c r="G27" s="22" t="str">
        <x:v>Match</x:v>
      </x:c>
      <x:c r="H27" s="22" t="str">
        <x:v>Match</x:v>
      </x:c>
      <x:c r="I27" s="23" t="n">
        <x:v>6583</x:v>
      </x:c>
      <x:c r="J27" s="23" t="n">
        <x:v>814</x:v>
      </x:c>
      <x:c r="K27" s="24" t="n">
        <x:f>I27*Summary!$B$14/1000000</x:f>
        <x:v>0.019749</x:v>
      </x:c>
      <x:c r="L27" s="24" t="n">
        <x:f>J27*Summary!$B$15/1000000</x:f>
        <x:v>0.01221</x:v>
      </x:c>
      <x:c r="M27" s="24" t="n">
        <x:f>SUM(K27:L27)</x:f>
        <x:v>0.031959</x:v>
      </x:c>
      <x:c r="N27" s="22" t="str">
        <x:v>Phrase detected; clause context not interpreted</x:v>
      </x:c>
    </x:row>
    <x:row r="28" ht="100" customHeight="1">
      <x:c r="A28" s="22" t="n">
        <x:v>23</x:v>
      </x:c>
      <x:c r="B28" s="22" t="str">
        <x:v>PapaJohnsInternationalInc_20190617_8-K_EX-10.1_11707365_EX-10.1_Endorsement Agreement.pdf</x:v>
      </x:c>
      <x:c r="C28" s="22" t="str">
        <x:v>By agreement/amendment</x:v>
      </x:c>
      <x:c r="D28" s="22" t="str">
        <x:v>Yes</x:v>
      </x:c>
      <x:c r="E28" s="22" t="str">
        <x:v>No</x:v>
      </x:c>
      <x:c r="F28" s="22" t="str">
        <x:v>No keyword match</x:v>
      </x:c>
      <x:c r="G28" s="22" t="str">
        <x:v>Match</x:v>
      </x:c>
      <x:c r="H28" s="22" t="str">
        <x:v>Match</x:v>
      </x:c>
      <x:c r="I28" s="23" t="n">
        <x:v>19882</x:v>
      </x:c>
      <x:c r="J28" s="23" t="n">
        <x:v>805</x:v>
      </x:c>
      <x:c r="K28" s="24" t="n">
        <x:f>I28*Summary!$B$14/1000000</x:f>
        <x:v>0.059646</x:v>
      </x:c>
      <x:c r="L28" s="24" t="n">
        <x:f>J28*Summary!$B$15/1000000</x:f>
        <x:v>0.012075</x:v>
      </x:c>
      <x:c r="M28" s="24" t="n">
        <x:f>SUM(K28:L28)</x:f>
        <x:v>0.071721</x:v>
      </x:c>
      <x:c r="N28" s="22" t="str">
        <x:v>No phrase match; predicts No</x:v>
      </x:c>
    </x:row>
    <x:row r="29" ht="100" customHeight="1">
      <x:c r="A29" s="22" t="n">
        <x:v>24</x:v>
      </x:c>
      <x:c r="B29" s="22" t="str">
        <x:v>ParatekPharmaceuticalsInc_20170505_10-KA_EX-10.29_10323872_EX-10.29_Outsourcing Agreement.pdf</x:v>
      </x:c>
      <x:c r="C29" s="22" t="str">
        <x:v>Conditional</x:v>
      </x:c>
      <x:c r="D29" s="22" t="str">
        <x:v>No</x:v>
      </x:c>
      <x:c r="E29" s="22" t="str">
        <x:v>No</x:v>
      </x:c>
      <x:c r="F29" s="22" t="str">
        <x:v>No keyword match</x:v>
      </x:c>
      <x:c r="G29" s="22" t="str">
        <x:v>Excluded</x:v>
      </x:c>
      <x:c r="H29" s="22" t="str">
        <x:v>Excluded</x:v>
      </x:c>
      <x:c r="I29" s="23" t="n">
        <x:v>31141</x:v>
      </x:c>
      <x:c r="J29" s="23" t="n">
        <x:v>1332</x:v>
      </x:c>
      <x:c r="K29" s="24" t="n">
        <x:f>I29*Summary!$B$14/1000000</x:f>
        <x:v>0.093423</x:v>
      </x:c>
      <x:c r="L29" s="24" t="n">
        <x:f>J29*Summary!$B$15/1000000</x:f>
        <x:v>0.01998</x:v>
      </x:c>
      <x:c r="M29" s="24" t="n">
        <x:f>SUM(K29:L29)</x:f>
        <x:v>0.113403</x:v>
      </x:c>
      <x:c r="N29" s="22" t="str">
        <x:v>No phrase match; predicts No</x:v>
      </x:c>
    </x:row>
    <x:row r="30" ht="100" customHeight="1">
      <x:c r="A30" s="22" t="n">
        <x:v>25</x:v>
      </x:c>
      <x:c r="B30" s="22" t="str">
        <x:v>PfHospitalityGroupInc_20150923_10-12G_EX-10.1_9266710_EX-10.1_Franchise Agreement1.pdf</x:v>
      </x:c>
      <x:c r="C30" s="22" t="str">
        <x:v>Option</x:v>
      </x:c>
      <x:c r="D30" s="22" t="str">
        <x:v>Yes</x:v>
      </x:c>
      <x:c r="E30" s="22" t="str">
        <x:v>No</x:v>
      </x:c>
      <x:c r="F30" s="22" t="str">
        <x:v>No keyword match</x:v>
      </x:c>
      <x:c r="G30" s="22" t="str">
        <x:v>Match</x:v>
      </x:c>
      <x:c r="H30" s="22" t="str">
        <x:v>Match</x:v>
      </x:c>
      <x:c r="I30" s="23" t="n">
        <x:v>38742</x:v>
      </x:c>
      <x:c r="J30" s="23" t="n">
        <x:v>783</x:v>
      </x:c>
      <x:c r="K30" s="24" t="n">
        <x:f>I30*Summary!$B$14/1000000</x:f>
        <x:v>0.116226</x:v>
      </x:c>
      <x:c r="L30" s="24" t="n">
        <x:f>J30*Summary!$B$15/1000000</x:f>
        <x:v>0.011745</x:v>
      </x:c>
      <x:c r="M30" s="24" t="n">
        <x:f>SUM(K30:L30)</x:f>
        <x:v>0.127971</x:v>
      </x:c>
      <x:c r="N30" s="22" t="str">
        <x:v>No phrase match; predicts No</x:v>
      </x:c>
    </x:row>
    <x:row r="31" ht="100" customHeight="1">
      <x:c r="A31" s="22" t="n">
        <x:v>26</x:v>
      </x:c>
      <x:c r="B31" s="22" t="str">
        <x:v>RaeSystemsInc_20001114_10-Q_EX-10.57_2631790_EX-10.57_Co-Branding Agreement.pdf</x:v>
      </x:c>
      <x:c r="C31" s="22" t="str">
        <x:v>Automatic</x:v>
      </x:c>
      <x:c r="D31" s="22" t="str">
        <x:v>Yes</x:v>
      </x:c>
      <x:c r="E31" s="22" t="str">
        <x:v>Yes</x:v>
      </x:c>
      <x:c r="F31" s="22" t="str">
        <x:v>ctive Date and shall remain in force for a period of one (1) year, and shall be automatically renewed for successive periods of one (1) year unless otherwise terminated as provided herein. 8.2 Convenience. NETTAXI may terminate thi</x:v>
      </x:c>
      <x:c r="G31" s="22" t="str">
        <x:v>Match</x:v>
      </x:c>
      <x:c r="H31" s="22" t="str">
        <x:v>Match</x:v>
      </x:c>
      <x:c r="I31" s="23" t="n">
        <x:v>12747</x:v>
      </x:c>
      <x:c r="J31" s="23" t="n">
        <x:v>598</x:v>
      </x:c>
      <x:c r="K31" s="24" t="n">
        <x:f>I31*Summary!$B$14/1000000</x:f>
        <x:v>0.038241</x:v>
      </x:c>
      <x:c r="L31" s="24" t="n">
        <x:f>J31*Summary!$B$15/1000000</x:f>
        <x:v>0.00897</x:v>
      </x:c>
      <x:c r="M31" s="24" t="n">
        <x:f>SUM(K31:L31)</x:f>
        <x:v>0.047210999999999996</x:v>
      </x:c>
      <x:c r="N31" s="22" t="str">
        <x:v>Phrase detected; clause context not interpreted</x:v>
      </x:c>
    </x:row>
    <x:row r="32" ht="100" customHeight="1">
      <x:c r="A32" s="22" t="n">
        <x:v>27</x:v>
      </x:c>
      <x:c r="B32" s="22" t="str">
        <x:v>RandWorldwideInc_20010402_8-KA_EX-10.2_2102464_EX-10.2_Co-Branding Agreement.pdf</x:v>
      </x:c>
      <x:c r="C32" s="22" t="str">
        <x:v>Automatic</x:v>
      </x:c>
      <x:c r="D32" s="22" t="str">
        <x:v>Yes</x:v>
      </x:c>
      <x:c r="E32" s="22" t="str">
        <x:v>Yes</x:v>
      </x:c>
      <x:c r="F32" s="22" t="str">
        <x:v>13 terminated in accordance with this Section (the "Term"). The Agreement shall automatically renew for successive one year additional terms unless terminated by either party at least six months prior to the expiration of the then-current</x:v>
      </x:c>
      <x:c r="G32" s="22" t="str">
        <x:v>Match</x:v>
      </x:c>
      <x:c r="H32" s="22" t="str">
        <x:v>Match</x:v>
      </x:c>
      <x:c r="I32" s="23" t="n">
        <x:v>13702</x:v>
      </x:c>
      <x:c r="J32" s="23" t="n">
        <x:v>783</x:v>
      </x:c>
      <x:c r="K32" s="24" t="n">
        <x:f>I32*Summary!$B$14/1000000</x:f>
        <x:v>0.041106</x:v>
      </x:c>
      <x:c r="L32" s="24" t="n">
        <x:f>J32*Summary!$B$15/1000000</x:f>
        <x:v>0.011745</x:v>
      </x:c>
      <x:c r="M32" s="24" t="n">
        <x:f>SUM(K32:L32)</x:f>
        <x:v>0.052850999999999995</x:v>
      </x:c>
      <x:c r="N32" s="22" t="str">
        <x:v>Phrase detected; clause context not interpreted</x:v>
      </x:c>
    </x:row>
    <x:row r="33" ht="100" customHeight="1">
      <x:c r="A33" s="22" t="n">
        <x:v>28</x:v>
      </x:c>
      <x:c r="B33" s="22" t="str">
        <x:v>RemarkHoldingsInc_20081114_10-Q_EX-10.24_2895649_EX-10.24_Content License Agreement.pdf</x:v>
      </x:c>
      <x:c r="C33" s="22" t="str">
        <x:v>Option</x:v>
      </x:c>
      <x:c r="D33" s="22" t="str">
        <x:v>Yes</x:v>
      </x:c>
      <x:c r="E33" s="22" t="str">
        <x:v>No</x:v>
      </x:c>
      <x:c r="F33" s="22" t="str">
        <x:v>No keyword match</x:v>
      </x:c>
      <x:c r="G33" s="22" t="str">
        <x:v>Match</x:v>
      </x:c>
      <x:c r="H33" s="22" t="str">
        <x:v>Match</x:v>
      </x:c>
      <x:c r="I33" s="23" t="n">
        <x:v>18207</x:v>
      </x:c>
      <x:c r="J33" s="23" t="n">
        <x:v>1019</x:v>
      </x:c>
      <x:c r="K33" s="24" t="n">
        <x:f>I33*Summary!$B$14/1000000</x:f>
        <x:v>0.054621</x:v>
      </x:c>
      <x:c r="L33" s="24" t="n">
        <x:f>J33*Summary!$B$15/1000000</x:f>
        <x:v>0.015285</x:v>
      </x:c>
      <x:c r="M33" s="24" t="n">
        <x:f>SUM(K33:L33)</x:f>
        <x:v>0.069906</x:v>
      </x:c>
      <x:c r="N33" s="22" t="str">
        <x:v>No phrase match; predicts No</x:v>
      </x:c>
    </x:row>
    <x:row r="34" ht="100" customHeight="1">
      <x:c r="A34" s="22" t="n">
        <x:v>29</x:v>
      </x:c>
      <x:c r="B34" s="22" t="str">
        <x:v>RitterPharmaceuticalsInc_20200313_S-4A_EX-10.54_12055220_EX-10.54_Development Agreement.pdf</x:v>
      </x:c>
      <x:c r="C34" s="22" t="str">
        <x:v>Automatic</x:v>
      </x:c>
      <x:c r="D34" s="22" t="str">
        <x:v>Yes</x:v>
      </x:c>
      <x:c r="E34" s="22" t="str">
        <x:v>Yes</x:v>
      </x:c>
      <x:c r="F34" s="22" t="str">
        <x:v>ial term of this Agreement and any renewal term thereof shall be automatically extended at the end of the initial term and any renewal term thereof for an additional one (1) year period unless either Party notifi</x:v>
      </x:c>
      <x:c r="G34" s="22" t="str">
        <x:v>Match</x:v>
      </x:c>
      <x:c r="H34" s="22" t="str">
        <x:v>Match</x:v>
      </x:c>
      <x:c r="I34" s="23" t="n">
        <x:v>34941</x:v>
      </x:c>
      <x:c r="J34" s="23" t="n">
        <x:v>609</x:v>
      </x:c>
      <x:c r="K34" s="24" t="n">
        <x:f>I34*Summary!$B$14/1000000</x:f>
        <x:v>0.104823</x:v>
      </x:c>
      <x:c r="L34" s="24" t="n">
        <x:f>J34*Summary!$B$15/1000000</x:f>
        <x:v>0.009135</x:v>
      </x:c>
      <x:c r="M34" s="24" t="n">
        <x:f>SUM(K34:L34)</x:f>
        <x:v>0.113958</x:v>
      </x:c>
      <x:c r="N34" s="22" t="str">
        <x:v>Phrase detected; clause context not interpreted</x:v>
      </x:c>
    </x:row>
    <x:row r="35" ht="100" customHeight="1">
      <x:c r="A35" s="22" t="n">
        <x:v>30</x:v>
      </x:c>
      <x:c r="B35" s="22" t="str">
        <x:v>ScansourceInc_20190822_10-K_EX-10.38_11793958_EX-10.38_Distributor Agreement1.pdf</x:v>
      </x:c>
      <x:c r="C35" s="22" t="str">
        <x:v>Option</x:v>
      </x:c>
      <x:c r="D35" s="22" t="str">
        <x:v>Yes</x:v>
      </x:c>
      <x:c r="E35" s="22" t="str">
        <x:v>No</x:v>
      </x:c>
      <x:c r="F35" s="22" t="str">
        <x:v>No keyword match</x:v>
      </x:c>
      <x:c r="G35" s="22" t="str">
        <x:v>Match</x:v>
      </x:c>
      <x:c r="H35" s="22" t="str">
        <x:v>Match</x:v>
      </x:c>
      <x:c r="I35" s="23" t="n">
        <x:v>23180</x:v>
      </x:c>
      <x:c r="J35" s="23" t="n">
        <x:v>992</x:v>
      </x:c>
      <x:c r="K35" s="24" t="n">
        <x:f>I35*Summary!$B$14/1000000</x:f>
        <x:v>0.06954</x:v>
      </x:c>
      <x:c r="L35" s="24" t="n">
        <x:f>J35*Summary!$B$15/1000000</x:f>
        <x:v>0.01488</x:v>
      </x:c>
      <x:c r="M35" s="24" t="n">
        <x:f>SUM(K35:L35)</x:f>
        <x:v>0.08442000000000001</x:v>
      </x:c>
      <x:c r="N35" s="22" t="str">
        <x:v>No phrase match; predicts No</x:v>
      </x:c>
    </x:row>
    <x:row r="36" ht="100" customHeight="1">
      <x:c r="A36" s="22" t="n">
        <x:v>31</x:v>
      </x:c>
      <x:c r="B36" s="22" t="str">
        <x:v>SigaTechnologiesInc_20190603_8-K_EX-10.1_11695818_EX-10.1_Promotion Agreement.pdf</x:v>
      </x:c>
      <x:c r="C36" s="22" t="str">
        <x:v>Automatic</x:v>
      </x:c>
      <x:c r="D36" s="22" t="str">
        <x:v>Yes</x:v>
      </x:c>
      <x:c r="E36" s="22" t="str">
        <x:v>Yes</x:v>
      </x:c>
      <x:c r="F36" s="22" t="str">
        <x:v>anniversary of the Effective Date (the “Initial Term”). This Agreement shall be automatically renewed for successive three (3) year terms thereafter (each a “Renewal Term” and together with the Initial Term, the “Term”) until and unless (i)</x:v>
      </x:c>
      <x:c r="G36" s="22" t="str">
        <x:v>Match</x:v>
      </x:c>
      <x:c r="H36" s="22" t="str">
        <x:v>Match</x:v>
      </x:c>
      <x:c r="I36" s="23" t="n">
        <x:v>40037</x:v>
      </x:c>
      <x:c r="J36" s="23" t="n">
        <x:v>802</x:v>
      </x:c>
      <x:c r="K36" s="24" t="n">
        <x:f>I36*Summary!$B$14/1000000</x:f>
        <x:v>0.120111</x:v>
      </x:c>
      <x:c r="L36" s="24" t="n">
        <x:f>J36*Summary!$B$15/1000000</x:f>
        <x:v>0.01203</x:v>
      </x:c>
      <x:c r="M36" s="24" t="n">
        <x:f>SUM(K36:L36)</x:f>
        <x:v>0.132141</x:v>
      </x:c>
      <x:c r="N36" s="22" t="str">
        <x:v>Phrase detected; clause context not interpreted</x:v>
      </x:c>
    </x:row>
    <x:row r="37" ht="100" customHeight="1">
      <x:c r="A37" s="22" t="n">
        <x:v>32</x:v>
      </x:c>
      <x:c r="B37" s="22" t="str">
        <x:v>StaarSurgicalCompany_20180801_10-Q_EX-10.37_11289449_EX-10.37_Distributor Agreement.pdf</x:v>
      </x:c>
      <x:c r="C37" s="22" t="str">
        <x:v>By agreement/amendment</x:v>
      </x:c>
      <x:c r="D37" s="22" t="str">
        <x:v>Yes</x:v>
      </x:c>
      <x:c r="E37" s="22" t="str">
        <x:v>No</x:v>
      </x:c>
      <x:c r="F37" s="22" t="str">
        <x:v>No keyword match</x:v>
      </x:c>
      <x:c r="G37" s="22" t="str">
        <x:v>Match</x:v>
      </x:c>
      <x:c r="H37" s="22" t="str">
        <x:v>Match</x:v>
      </x:c>
      <x:c r="I37" s="23" t="n">
        <x:v>14079</x:v>
      </x:c>
      <x:c r="J37" s="23" t="n">
        <x:v>731</x:v>
      </x:c>
      <x:c r="K37" s="24" t="n">
        <x:f>I37*Summary!$B$14/1000000</x:f>
        <x:v>0.042237</x:v>
      </x:c>
      <x:c r="L37" s="24" t="n">
        <x:f>J37*Summary!$B$15/1000000</x:f>
        <x:v>0.010965</x:v>
      </x:c>
      <x:c r="M37" s="24" t="n">
        <x:f>SUM(K37:L37)</x:f>
        <x:v>0.053202</x:v>
      </x:c>
      <x:c r="N37" s="22" t="str">
        <x:v>No phrase match; predicts No</x:v>
      </x:c>
    </x:row>
    <x:row r="38" ht="100" customHeight="1">
      <x:c r="A38" s="22" t="n">
        <x:v>33</x:v>
      </x:c>
      <x:c r="B38" s="22" t="str">
        <x:v>SteelVaultCorp_20081224_10-K_EX-10.16_3074935_EX-10.16_Affiliate Agreement.pdf</x:v>
      </x:c>
      <x:c r="C38" s="22" t="str">
        <x:v>Automatic</x:v>
      </x:c>
      <x:c r="D38" s="22" t="str">
        <x:v>Yes</x:v>
      </x:c>
      <x:c r="E38" s="22" t="str">
        <x:v>No</x:v>
      </x:c>
      <x:c r="F38" s="22" t="str">
        <x:v>No keyword match</x:v>
      </x:c>
      <x:c r="G38" s="22" t="str">
        <x:v>Mismatch</x:v>
      </x:c>
      <x:c r="H38" s="22" t="str">
        <x:v>Match</x:v>
      </x:c>
      <x:c r="I38" s="23" t="n">
        <x:v>6611</x:v>
      </x:c>
      <x:c r="J38" s="23" t="n">
        <x:v>581</x:v>
      </x:c>
      <x:c r="K38" s="24" t="n">
        <x:f>I38*Summary!$B$14/1000000</x:f>
        <x:v>0.019833</x:v>
      </x:c>
      <x:c r="L38" s="24" t="n">
        <x:f>J38*Summary!$B$15/1000000</x:f>
        <x:v>0.008715</x:v>
      </x:c>
      <x:c r="M38" s="24" t="n">
        <x:f>SUM(K38:L38)</x:f>
        <x:v>0.028548</x:v>
      </x:c>
      <x:c r="N38" s="22" t="str">
        <x:v>No phrase match; predicts No</x:v>
      </x:c>
    </x:row>
    <x:row r="39" ht="100" customHeight="1">
      <x:c r="A39" s="22" t="n">
        <x:v>34</x:v>
      </x:c>
      <x:c r="B39" s="22" t="str">
        <x:v>TodosMedicalLtd_20190328_20-F_EX-4.10_11587157_EX-4.10_Marketing Agreement_ Reseller Agreement.pdf</x:v>
      </x:c>
      <x:c r="C39" s="22" t="str">
        <x:v>Conditional</x:v>
      </x:c>
      <x:c r="D39" s="22" t="str">
        <x:v>No</x:v>
      </x:c>
      <x:c r="E39" s="22" t="str">
        <x:v>Yes</x:v>
      </x:c>
      <x:c r="F39" s="22" t="str">
        <x:v>Reseller has achieved the Annual Milestones, the term of the Agreement shall be automatically renewed for an additional five (5) years. Thereafter, at the end of each renewal term, the Agreement shall renew for an additional two (2) years un</x:v>
      </x:c>
      <x:c r="G39" s="22" t="str">
        <x:v>Excluded</x:v>
      </x:c>
      <x:c r="H39" s="22" t="str">
        <x:v>Excluded</x:v>
      </x:c>
      <x:c r="I39" s="23" t="n">
        <x:v>10350</x:v>
      </x:c>
      <x:c r="J39" s="23" t="n">
        <x:v>811</x:v>
      </x:c>
      <x:c r="K39" s="24" t="n">
        <x:f>I39*Summary!$B$14/1000000</x:f>
        <x:v>0.03105</x:v>
      </x:c>
      <x:c r="L39" s="24" t="n">
        <x:f>J39*Summary!$B$15/1000000</x:f>
        <x:v>0.012165</x:v>
      </x:c>
      <x:c r="M39" s="24" t="n">
        <x:f>SUM(K39:L39)</x:f>
        <x:v>0.043215</x:v>
      </x:c>
      <x:c r="N39" s="22" t="str">
        <x:v>Phrase detected; clause context not interpreted</x:v>
      </x:c>
    </x:row>
    <x:row r="40" ht="100" customHeight="1">
      <x:c r="A40" s="22" t="n">
        <x:v>35</x:v>
      </x:c>
      <x:c r="B40" s="22" t="str">
        <x:v>TubeMediaCorp_20060310_8-K_EX-10.1_513921_EX-10.1_Affiliate Agreement.pdf</x:v>
      </x:c>
      <x:c r="C40" s="22" t="str">
        <x:v>Automatic</x:v>
      </x:c>
      <x:c r="D40" s="22" t="str">
        <x:v>Yes</x:v>
      </x:c>
      <x:c r="E40" s="22" t="str">
        <x:v>Yes</x:v>
      </x:c>
      <x:c r="F40" s="22" t="str">
        <x:v>n date, at least six (6) months before the expiration date, this Agreement will automatically renew, upon the same terms and conditions, for an additional four (4) -year period (“Renewal Term”). (c) If the Term is renew</x:v>
      </x:c>
      <x:c r="G40" s="22" t="str">
        <x:v>Match</x:v>
      </x:c>
      <x:c r="H40" s="22" t="str">
        <x:v>Match</x:v>
      </x:c>
      <x:c r="I40" s="23" t="n">
        <x:v>19432</x:v>
      </x:c>
      <x:c r="J40" s="23" t="n">
        <x:v>906</x:v>
      </x:c>
      <x:c r="K40" s="24" t="n">
        <x:f>I40*Summary!$B$14/1000000</x:f>
        <x:v>0.058296</x:v>
      </x:c>
      <x:c r="L40" s="24" t="n">
        <x:f>J40*Summary!$B$15/1000000</x:f>
        <x:v>0.01359</x:v>
      </x:c>
      <x:c r="M40" s="24" t="n">
        <x:f>SUM(K40:L40)</x:f>
        <x:v>0.071886</x:v>
      </x:c>
      <x:c r="N40" s="22" t="str">
        <x:v>Phrase detected; clause context not interpreted</x:v>
      </x:c>
    </x:row>
    <x:row r="41" ht="100" customHeight="1">
      <x:c r="A41" s="22" t="n">
        <x:v>36</x:v>
      </x:c>
      <x:c r="B41" s="22" t="str">
        <x:v>UsioInc_20040428_SB-2_EX-10.11_1723988_EX-10.11_Affiliate Agreement 2.pdf</x:v>
      </x:c>
      <x:c r="C41" s="22" t="str">
        <x:v>Automatic</x:v>
      </x:c>
      <x:c r="D41" s="22" t="str">
        <x:v>Yes</x:v>
      </x:c>
      <x:c r="E41" s="22" t="str">
        <x:v>Yes</x:v>
      </x:c>
      <x:c r="F41" s="22" t="str">
        <x:v>s ISO application, in which case, the Term will be 3 years. This Agreement will automatically renew for successive one-year terms unless terminated by either party by providing the other with 30 days written notice that this Agreement will</x:v>
      </x:c>
      <x:c r="G41" s="22" t="str">
        <x:v>Match</x:v>
      </x:c>
      <x:c r="H41" s="22" t="str">
        <x:v>Match</x:v>
      </x:c>
      <x:c r="I41" s="23" t="n">
        <x:v>8260</x:v>
      </x:c>
      <x:c r="J41" s="23" t="n">
        <x:v>647</x:v>
      </x:c>
      <x:c r="K41" s="24" t="n">
        <x:f>I41*Summary!$B$14/1000000</x:f>
        <x:v>0.02478</x:v>
      </x:c>
      <x:c r="L41" s="24" t="n">
        <x:f>J41*Summary!$B$15/1000000</x:f>
        <x:v>0.009705</x:v>
      </x:c>
      <x:c r="M41" s="24" t="n">
        <x:f>SUM(K41:L41)</x:f>
        <x:v>0.034485</x:v>
      </x:c>
      <x:c r="N41" s="22" t="str">
        <x:v>Phrase detected; clause context not interpreted</x:v>
      </x:c>
    </x:row>
    <x:row r="42" ht="100" customHeight="1">
      <x:c r="A42" s="22" t="n">
        <x:v>37</x:v>
      </x:c>
      <x:c r="B42" s="22" t="str">
        <x:v>VertexEnergyInc_20200113_8-K_EX-10.1_11943624_EX-10.1_Marketing Agreement.pdf</x:v>
      </x:c>
      <x:c r="C42" s="22" t="str">
        <x:v>Automatic</x:v>
      </x:c>
      <x:c r="D42" s="22" t="str">
        <x:v>Yes</x:v>
      </x:c>
      <x:c r="E42" s="22" t="str">
        <x:v>Yes</x:v>
      </x:c>
      <x:c r="F42" s="22" t="str">
        <x:v>(the “Commencement Date”) and ends at April 30, 2029 (the “Term”), with automatic renewals each for a period of five (5) years (a “Renewal Term”) unless notice is given pursuant to 5.2. 5.2. This JSMA will be terminated as of th</x:v>
      </x:c>
      <x:c r="G42" s="22" t="str">
        <x:v>Match</x:v>
      </x:c>
      <x:c r="H42" s="22" t="str">
        <x:v>Match</x:v>
      </x:c>
      <x:c r="I42" s="23" t="n">
        <x:v>13626</x:v>
      </x:c>
      <x:c r="J42" s="23" t="n">
        <x:v>1082</x:v>
      </x:c>
      <x:c r="K42" s="24" t="n">
        <x:f>I42*Summary!$B$14/1000000</x:f>
        <x:v>0.040878</x:v>
      </x:c>
      <x:c r="L42" s="24" t="n">
        <x:f>J42*Summary!$B$15/1000000</x:f>
        <x:v>0.01623</x:v>
      </x:c>
      <x:c r="M42" s="24" t="n">
        <x:f>SUM(K42:L42)</x:f>
        <x:v>0.057108</x:v>
      </x:c>
      <x:c r="N42" s="22" t="str">
        <x:v>Phrase detected; clause context not interpreted</x:v>
      </x:c>
    </x:row>
    <x:row r="43" ht="100" customHeight="1">
      <x:c r="A43" s="22" t="n">
        <x:v>38</x:v>
      </x:c>
      <x:c r="B43" s="22" t="str">
        <x:v>VitalibisInc_20180316_8-K_EX-10.2_11100168_EX-10.2_Hosting Agreement.pdf</x:v>
      </x:c>
      <x:c r="C43" s="22" t="str">
        <x:v>Automatic</x:v>
      </x:c>
      <x:c r="D43" s="22" t="str">
        <x:v>Yes</x:v>
      </x:c>
      <x:c r="E43" s="22" t="str">
        <x:v>Yes</x:v>
      </x:c>
      <x:c r="F43" s="22" t="str">
        <x:v>1.3. 10.1. or 10.2 of this Agreement (the *Initial Term"). This Agreement shall automatically renew beyond the Initial Term for successive one (I) year terms (each, a "Renewal Term"), unless a Party provides the other with written notice o</x:v>
      </x:c>
      <x:c r="G43" s="22" t="str">
        <x:v>Match</x:v>
      </x:c>
      <x:c r="H43" s="22" t="str">
        <x:v>Match</x:v>
      </x:c>
      <x:c r="I43" s="23" t="n">
        <x:v>13906</x:v>
      </x:c>
      <x:c r="J43" s="23" t="n">
        <x:v>1079</x:v>
      </x:c>
      <x:c r="K43" s="24" t="n">
        <x:f>I43*Summary!$B$14/1000000</x:f>
        <x:v>0.041718</x:v>
      </x:c>
      <x:c r="L43" s="24" t="n">
        <x:f>J43*Summary!$B$15/1000000</x:f>
        <x:v>0.016185</x:v>
      </x:c>
      <x:c r="M43" s="24" t="n">
        <x:f>SUM(K43:L43)</x:f>
        <x:v>0.057902999999999996</x:v>
      </x:c>
      <x:c r="N43" s="22" t="str">
        <x:v>Phrase detected; clause context not interpreted</x:v>
      </x:c>
    </x:row>
    <x:row r="44" ht="100" customHeight="1">
      <x:c r="A44" s="22" t="n">
        <x:v>39</x:v>
      </x:c>
      <x:c r="B44" s="22" t="str">
        <x:v>WaterNowInc_20191120_10-Q_EX-10.12_11900227_EX-10.12_Distributor Agreement.pdf</x:v>
      </x:c>
      <x:c r="C44" s="22" t="str">
        <x:v>Automatic</x:v>
      </x:c>
      <x:c r="D44" s="22" t="str">
        <x:v>Yes</x:v>
      </x:c>
      <x:c r="E44" s="22" t="str">
        <x:v>Yes</x:v>
      </x:c>
      <x:c r="F44" s="22" t="str">
        <x:v>eof. Upon expiration of the Initial Term of this Agreement, this Agreement will automatically renew for additional, successive five (5) year periods unless either Party provides the other Party written notice of its desire to terminate at</x:v>
      </x:c>
      <x:c r="G44" s="22" t="str">
        <x:v>Match</x:v>
      </x:c>
      <x:c r="H44" s="22" t="str">
        <x:v>Match</x:v>
      </x:c>
      <x:c r="I44" s="23" t="n">
        <x:v>14168</x:v>
      </x:c>
      <x:c r="J44" s="23" t="n">
        <x:v>571</x:v>
      </x:c>
      <x:c r="K44" s="24" t="n">
        <x:f>I44*Summary!$B$14/1000000</x:f>
        <x:v>0.042504</x:v>
      </x:c>
      <x:c r="L44" s="24" t="n">
        <x:f>J44*Summary!$B$15/1000000</x:f>
        <x:v>0.008565</x:v>
      </x:c>
      <x:c r="M44" s="24" t="n">
        <x:f>SUM(K44:L44)</x:f>
        <x:v>0.051069</x:v>
      </x:c>
      <x:c r="N44" s="22" t="str">
        <x:v>Phrase detected; clause context not interpreted</x:v>
      </x:c>
    </x:row>
    <x:row r="45" ht="100" customHeight="1">
      <x:c r="A45" s="22" t="n">
        <x:v>40</x:v>
      </x:c>
      <x:c r="B45" s="22" t="str">
        <x:v>XinhuaSportsEntertainmentLtd_20070221_F-1_EX-99.4_645553_EX-99.4_Content License Agreement.pdf</x:v>
      </x:c>
      <x:c r="C45" s="22" t="str">
        <x:v>Option</x:v>
      </x:c>
      <x:c r="D45" s="22" t="str">
        <x:v>Yes</x:v>
      </x:c>
      <x:c r="E45" s="22" t="str">
        <x:v>No</x:v>
      </x:c>
      <x:c r="F45" s="22" t="str">
        <x:v>No keyword match</x:v>
      </x:c>
      <x:c r="G45" s="22" t="str">
        <x:v>Match</x:v>
      </x:c>
      <x:c r="H45" s="22" t="str">
        <x:v>Match</x:v>
      </x:c>
      <x:c r="I45" s="23" t="n">
        <x:v>6706</x:v>
      </x:c>
      <x:c r="J45" s="23" t="n">
        <x:v>967</x:v>
      </x:c>
      <x:c r="K45" s="24" t="n">
        <x:f>I45*Summary!$B$14/1000000</x:f>
        <x:v>0.020118</x:v>
      </x:c>
      <x:c r="L45" s="24" t="n">
        <x:f>J45*Summary!$B$15/1000000</x:f>
        <x:v>0.014505</x:v>
      </x:c>
      <x:c r="M45" s="24" t="n">
        <x:f>SUM(K45:L45)</x:f>
        <x:v>0.034623</x:v>
      </x:c>
      <x:c r="N45" s="22" t="str">
        <x:v>No phrase match; predicts No</x:v>
      </x:c>
    </x:row>
  </x:sheetData>
  <x:mergeCells>
    <x:mergeCell ref="A1:N1"/>
    <x:mergeCell ref="A2:N2"/>
  </x:mergeCells>
  <x:pageMargins left="0.7" right="0.7" top="0.75" bottom="0.75" header="0.3" footer="0.3"/>
</x:worksheet>
</file>
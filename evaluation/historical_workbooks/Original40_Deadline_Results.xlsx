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b6f4a65d9e4aa1" /></Relationships>
</file>

<file path=xl/workbook.xml><?xml version="1.0" encoding="utf-8"?>
<x:workbook xmlns:x="http://schemas.openxmlformats.org/spreadsheetml/2006/main">
  <x:sheets>
    <x:sheet xmlns:r="http://schemas.openxmlformats.org/officeDocument/2006/relationships" name="Summary" sheetId="1" r:id="Ra9df7eff905f4714"/>
    <x:sheet xmlns:r="http://schemas.openxmlformats.org/officeDocument/2006/relationships" name="All 40 dates" sheetId="2" r:id="R164751f8131b48e8"/>
    <x:sheet xmlns:r="http://schemas.openxmlformats.org/officeDocument/2006/relationships" name="Structured inputs" sheetId="3" r:id="R1b8e55b82d354638"/>
    <x:sheet xmlns:r="http://schemas.openxmlformats.org/officeDocument/2006/relationships" name="Alert checks" sheetId="4" r:id="R1c891e9cb7f345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163552"/>
      <x:name val="Aptos"/>
    </x:font>
    <x:font>
      <x:sz val="11"/>
      <x:color rgb="FF163552"/>
      <x:name val="Aptos"/>
    </x:font>
    <x:font>
      <x:b/>
      <x:sz val="10"/>
      <x:color rgb="FFFFFFFF"/>
      <x:name val="Aptos"/>
    </x:font>
    <x:font>
      <x:sz val="10"/>
      <x:color rgb="FF163552"/>
      <x:name val="Aptos"/>
    </x:font>
  </x:fonts>
  <x:fills count="4">
    <x:fill>
      <x:patternFill patternType="none"/>
    </x:fill>
    <x:fill>
      <x:patternFill patternType="gray125"/>
    </x:fill>
    <x:fill>
      <x:patternFill patternType="solid">
        <x:fgColor rgb="FF087E83"/>
      </x:patternFill>
    </x:fill>
    <x:fill>
      <x:patternFill patternType="solid">
        <x:fgColor rgb="FFFFF3D6"/>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4b8be68fbe42a1" /><Relationship Type="http://schemas.openxmlformats.org/officeDocument/2006/relationships/theme" Target="/xl/theme/theme1.xml" Id="Rbc81d2102a4d4155" /><Relationship Type="http://schemas.openxmlformats.org/officeDocument/2006/relationships/sharedStrings" Target="/xl/sharedStrings.xml" Id="Rcb25e252de504f67" /><Relationship Type="http://schemas.openxmlformats.org/officeDocument/2006/relationships/worksheet" Target="/xl/worksheets/sheet1.xml" Id="Ra9df7eff905f4714" /><Relationship Type="http://schemas.openxmlformats.org/officeDocument/2006/relationships/worksheet" Target="/xl/worksheets/sheet2.xml" Id="R164751f8131b48e8" /><Relationship Type="http://schemas.openxmlformats.org/officeDocument/2006/relationships/worksheet" Target="/xl/worksheets/sheet3.xml" Id="R1b8e55b82d354638" /><Relationship Type="http://schemas.openxmlformats.org/officeDocument/2006/relationships/worksheet" Target="/xl/worksheets/sheet4.xml" Id="R1c891e9cb7f345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889999389648438" hidden="0" customWidth="1"/>
    <x:col min="2" max="2" width="14.4399995803833" hidden="0" customWidth="1"/>
    <x:col min="3" max="3" width="14.4399995803833" hidden="0" customWidth="1"/>
    <x:col min="4" max="4" width="11.109999656677246" hidden="0" customWidth="1"/>
    <x:col min="5" max="5" width="65.55999755859375" hidden="0" customWidth="1"/>
  </x:cols>
  <x:sheetData>
    <x:row r="1" ht="30" customHeight="1">
      <x:c r="A1" s="1" t="str">
        <x:v>Renewal Radar held-out deadline and alert results</x:v>
      </x:c>
      <x:c r="B1" s="1"/>
      <x:c r="C1" s="1"/>
      <x:c r="D1" s="1"/>
      <x:c r="E1" s="1"/>
    </x:row>
    <x:row r="2" ht="25" customHeight="1">
      <x:c r="A2" s="3" t="str">
        <x:v>40 contracts. First-term dates only. As-of 1 October 2026. Closing-soon threshold: 30 days.</x:v>
      </x:c>
      <x:c r="B2" s="3"/>
      <x:c r="C2" s="3"/>
      <x:c r="D2" s="3"/>
      <x:c r="E2" s="3"/>
    </x:row>
    <x:row r="3" ht="25" customHeight="1">
      <x:c r="A3" s="3" t="str">
        <x:v>Frozen v6 prose normalized by new conservative code. Reference inputs include PDF review. No API rerun.</x:v>
      </x:c>
      <x:c r="B3" s="3"/>
      <x:c r="C3" s="3"/>
      <x:c r="D3" s="3"/>
      <x:c r="E3" s="3"/>
    </x:row>
    <x:row r="5" ht="45" customHeight="1">
      <x:c r="A5" s="6" t="str">
        <x:v>Measure</x:v>
      </x:c>
      <x:c r="B5" s="6" t="str">
        <x:v>Matches / count</x:v>
      </x:c>
      <x:c r="C5" s="6" t="str">
        <x:v>Eligible / total</x:v>
      </x:c>
      <x:c r="D5" s="6" t="str">
        <x:v>Rate</x:v>
      </x:c>
      <x:c r="E5" s="6" t="str">
        <x:v>Interpretation</x:v>
      </x:c>
    </x:row>
    <x:row r="6" ht="65" customHeight="1">
      <x:c r="A6" s="9" t="str">
        <x:v>Confirmed cutoff agreement</x:v>
      </x:c>
      <x:c r="B6" s="9" t="n">
        <x:f>COUNTIFS('All 40 dates'!G6:G45,"Match")</x:f>
        <x:v>4</x:v>
      </x:c>
      <x:c r="C6" s="9" t="n">
        <x:f>COUNTIFS('All 40 dates'!F6:F45,"Yes")</x:f>
        <x:v>4</x:v>
      </x:c>
      <x:c r="D6" s="10" t="n">
        <x:f>B6/C6</x:f>
        <x:v>1</x:v>
      </x:c>
      <x:c r="E6" s="9" t="str">
        <x:v>4 confirmed reference cutoffs. This tests the added normalizer plus arithmetic on this subset.</x:v>
      </x:c>
    </x:row>
    <x:row r="7" ht="65" customHeight="1">
      <x:c r="A7" s="9" t="str">
        <x:v>Confirmed reference coverage</x:v>
      </x:c>
      <x:c r="B7" s="9" t="n">
        <x:f>C6</x:f>
        <x:v>4</x:v>
      </x:c>
      <x:c r="C7" s="9" t="n">
        <x:v>40</x:v>
      </x:c>
      <x:c r="D7" s="10" t="n">
        <x:f>B7/C7</x:f>
        <x:v>0.1</x:v>
      </x:c>
      <x:c r="E7" s="9" t="str">
        <x:v>Only IDs 15, 21, 31, 39 have confirmed exact cutoffs for scoring. Other 36 unscored.</x:v>
      </x:c>
    </x:row>
    <x:row r="8" ht="65" customHeight="1">
      <x:c r="A8" s="9" t="str">
        <x:v>Model-derived computed cutoffs</x:v>
      </x:c>
      <x:c r="B8" s="9" t="n">
        <x:f>COUNTIFS('All 40 dates'!H6:H45,"cutoff_computed")</x:f>
        <x:v>9</x:v>
      </x:c>
      <x:c r="C8" s="9" t="n">
        <x:v>40</x:v>
      </x:c>
      <x:c r="D8" s="10" t="n">
        <x:f>B8/C8</x:f>
        <x:v>0.225</x:v>
      </x:c>
      <x:c r="E8" s="9" t="str">
        <x:v>9 calculations from model assertions, including unverified dates and units. Not accuracy.</x:v>
      </x:c>
    </x:row>
    <x:row r="9" ht="65" customHeight="1">
      <x:c r="A9" s="9" t="str">
        <x:v>Reference-derived computed cutoffs</x:v>
      </x:c>
      <x:c r="B9" s="9" t="n">
        <x:f>COUNTIFS('All 40 dates'!I6:I45,"cutoff_computed")</x:f>
        <x:v>14</x:v>
      </x:c>
      <x:c r="C9" s="9" t="n">
        <x:v>40</x:v>
      </x:c>
      <x:c r="D9" s="10" t="n">
        <x:f>B9/C9</x:f>
        <x:v>0.35</x:v>
      </x:c>
      <x:c r="E9" s="9" t="str">
        <x:v>14 calculations: 4 confirmed and 10 provisional. Candidates retain review.</x:v>
      </x:c>
    </x:row>
    <x:row r="10" ht="65" customHeight="1">
      <x:c r="A10" s="9" t="str">
        <x:v>Model-derived review alerts</x:v>
      </x:c>
      <x:c r="B10" s="9" t="n">
        <x:f>COUNTIFS('All 40 dates'!J6:J45,"human_review")</x:f>
        <x:v>28</x:v>
      </x:c>
      <x:c r="C10" s="9" t="n">
        <x:v>40</x:v>
      </x:c>
      <x:c r="D10" s="10" t="n">
        <x:f>B10/C10</x:f>
        <x:v>0.7</x:v>
      </x:c>
      <x:c r="E10" s="9" t="str">
        <x:v>28 routed to review by model flags or normalizer abstention. Distinct from the 27 original model flags.</x:v>
      </x:c>
    </x:row>
    <x:row r="11" ht="65" customHeight="1">
      <x:c r="A11" s="9" t="str">
        <x:v>Reference-derived review alerts</x:v>
      </x:c>
      <x:c r="B11" s="9" t="n">
        <x:f>COUNTIFS('All 40 dates'!K6:K45,"human_review")</x:f>
        <x:v>36</x:v>
      </x:c>
      <x:c r="C11" s="9" t="n">
        <x:v>40</x:v>
      </x:c>
      <x:c r="D11" s="10" t="n">
        <x:f>B11/C11</x:f>
        <x:v>0.9</x:v>
      </x:c>
      <x:c r="E11" s="9" t="str">
        <x:v>36 routed to review, including missing dates, candidates, and existing source-review flags.</x:v>
      </x:c>
    </x:row>
    <x:row r="12" ht="65" customHeight="1">
      <x:c r="A12" s="9" t="str">
        <x:v>Alert boundary checks</x:v>
      </x:c>
      <x:c r="B12" s="9" t="n">
        <x:f>COUNTIFS('Alert checks'!G6:G18,"PASS")</x:f>
        <x:v>13</x:v>
      </x:c>
      <x:c r="C12" s="9" t="n">
        <x:v>13</x:v>
      </x:c>
      <x:c r="D12" s="10" t="n">
        <x:f>B12/C12</x:f>
        <x:v>1</x:v>
      </x:c>
      <x:c r="E12" s="9" t="str">
        <x:v>13 checks passed. Includes synthetic bounded-window and leap-year cases.</x:v>
      </x:c>
    </x:row>
    <x:row r="13" ht="65" customHeight="1">
      <x:c r="A13" s="9" t="str">
        <x:v>Closing-soon results (as-of date)</x:v>
      </x:c>
      <x:c r="B13" s="9" t="n">
        <x:f>COUNTIFS('All 40 dates'!J6:J45,"closing_soon")</x:f>
        <x:v>0</x:v>
      </x:c>
      <x:c r="C13" s="9" t="n">
        <x:v>40</x:v>
      </x:c>
      <x:c r="D13" s="10" t="n">
        <x:f>B13/C13</x:f>
        <x:v>0</x:v>
      </x:c>
      <x:c r="E13" s="9" t="str">
        <x:v>None at the chosen date. Historical cutoffs require verification of the current term.</x:v>
      </x:c>
    </x:row>
    <x:row r="15" ht="48" customHeight="1">
      <x:c r="A15" s="13" t="str">
        <x:v>4/4 agreement is not 100% accuracy across 40 contracts. The normalizer was added after evaluation. Unresolved dates are excluded from exact-date scoring.</x:v>
      </x:c>
      <x:c r="B15" s="13"/>
      <x:c r="C15" s="13"/>
      <x:c r="D15" s="13"/>
      <x:c r="E15" s="13"/>
    </x:row>
    <x:row r="17" ht="45" customHeight="1">
      <x:c r="A17" s="3" t="str">
        <x:v>Alert policy: human review takes priority. A passed first-term cutoff says “verify current term.” The system does not infer renewal cycles or send notifications.</x:v>
      </x:c>
      <x:c r="B17" s="3"/>
      <x:c r="C17" s="3"/>
      <x:c r="D17" s="3"/>
      <x:c r="E17" s="3"/>
    </x:row>
    <x:row r="19" ht="45" customHeight="1">
      <x:c r="A19" s="3" t="str">
        <x:v>Calendar policy: subtract days exactly. Subtract months with last-day clamping. Month-end and anniversary conventions remain provisional where the source does not settle them.</x:v>
      </x:c>
      <x:c r="B19" s="3"/>
      <x:c r="C19" s="3"/>
      <x:c r="D19" s="3"/>
      <x:c r="E19" s="3"/>
    </x:row>
    <x:row r="21" ht="45" customHeight="1">
      <x:c r="A21" s="3" t="str">
        <x:v>Findings: GPAQ’s explicit end supports a reference candidate that v6 missed. Ritter’s model-derived cutoff is 2020-10-30, versus the anniversary candidate 2020-11-01. Both remain unscored.</x:v>
      </x:c>
      <x:c r="B21" s="3"/>
      <x:c r="C21" s="3"/>
      <x:c r="D21" s="3"/>
      <x:c r="E21" s="3"/>
    </x:row>
    <x:row r="23" ht="60" customHeight="1">
      <x:c r="A23" s="3" t="str">
        <x:v>DataCall’s Appendix 2 has numeric start/end dates omitted from the frozen reference. The 04-01-08 end is retained as an April 1 candidate, with date order unresolved. HF has both 30-day notice rules in prose; its fixed monthly expiry interpretation remains provisional.</x:v>
      </x:c>
      <x:c r="B23" s="3"/>
      <x:c r="C23" s="3"/>
      <x:c r="D23" s="3"/>
      <x:c r="E23" s="3"/>
    </x:row>
  </x:sheetData>
  <x:mergeCells>
    <x:mergeCell ref="A1:E1"/>
    <x:mergeCell ref="A2:E2"/>
    <x:mergeCell ref="A3:E3"/>
    <x:mergeCell ref="A15:E15"/>
    <x:mergeCell ref="A17:E17"/>
    <x:mergeCell ref="A19:E19"/>
    <x:mergeCell ref="A21:E21"/>
    <x:mergeCell ref="A23:E2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440000057220459" hidden="0" customWidth="1"/>
    <x:col min="2" max="2" width="35" hidden="0" customWidth="1"/>
    <x:col min="3" max="3" width="15.5600004196167" hidden="0" customWidth="1"/>
    <x:col min="4" max="4" width="15.5600004196167" hidden="0" customWidth="1"/>
    <x:col min="5" max="5" width="17.219999313354492" hidden="0" customWidth="1"/>
    <x:col min="6" max="6" width="11.109999656677246" hidden="0" customWidth="1"/>
    <x:col min="7" max="7" width="15" hidden="0" customWidth="1"/>
    <x:col min="8" max="8" width="17.780000686645508" hidden="0" customWidth="1"/>
    <x:col min="9" max="9" width="17.780000686645508" hidden="0" customWidth="1"/>
    <x:col min="10" max="10" width="25" hidden="0" customWidth="1"/>
    <x:col min="11" max="11" width="25" hidden="0" customWidth="1"/>
    <x:col min="12" max="12" width="40" hidden="0" customWidth="1"/>
    <x:col min="13" max="13" width="53.33000183105469" hidden="0" customWidth="1"/>
  </x:cols>
  <x:sheetData>
    <x:row r="1" ht="30" customHeight="1">
      <x:c r="A1" s="1" t="str">
        <x:v>All 40 first-term date results</x:v>
      </x:c>
      <x:c r="B1" s="1"/>
      <x:c r="C1" s="1"/>
      <x:c r="D1" s="1"/>
      <x:c r="E1" s="1"/>
      <x:c r="F1" s="1"/>
      <x:c r="G1" s="1"/>
      <x:c r="H1" s="1"/>
      <x:c r="I1" s="1"/>
      <x:c r="J1" s="1"/>
      <x:c r="K1" s="1"/>
      <x:c r="L1" s="1"/>
      <x:c r="M1" s="1"/>
    </x:row>
    <x:row r="2" ht="24" customHeight="1">
      <x:c r="A2" s="2" t="str">
        <x:v>Unknown means no cutoff produced. Candidate dates must not be treated as verified dates or counted as exact-date matches.</x:v>
      </x:c>
      <x:c r="B2" s="2"/>
      <x:c r="C2" s="2"/>
      <x:c r="D2" s="2"/>
      <x:c r="E2" s="2"/>
      <x:c r="F2" s="2"/>
      <x:c r="G2" s="2"/>
      <x:c r="H2" s="2"/>
      <x:c r="I2" s="2"/>
      <x:c r="J2" s="2"/>
      <x:c r="K2" s="2"/>
      <x:c r="L2" s="2"/>
      <x:c r="M2" s="2"/>
    </x:row>
    <x:row r="5" ht="45" customHeight="1">
      <x:c r="A5" s="6" t="str">
        <x:v>ID</x:v>
      </x:c>
      <x:c r="B5" s="6" t="str">
        <x:v>Contract PDF</x:v>
      </x:c>
      <x:c r="C5" s="6" t="str">
        <x:v>Model-derived cutoff</x:v>
      </x:c>
      <x:c r="D5" s="6" t="str">
        <x:v>Reference-derived cutoff</x:v>
      </x:c>
      <x:c r="E5" s="6" t="str">
        <x:v>Reference certainty</x:v>
      </x:c>
      <x:c r="F5" s="6" t="str">
        <x:v>Exact-date eligible</x:v>
      </x:c>
      <x:c r="G5" s="6" t="str">
        <x:v>Exact-date result</x:v>
      </x:c>
      <x:c r="H5" s="6" t="str">
        <x:v>Model calculation status</x:v>
      </x:c>
      <x:c r="I5" s="6" t="str">
        <x:v>Reference calculation status</x:v>
      </x:c>
      <x:c r="J5" s="6" t="str">
        <x:v>Model alert</x:v>
      </x:c>
      <x:c r="K5" s="6" t="str">
        <x:v>Reference alert</x:v>
      </x:c>
      <x:c r="L5" s="6" t="str">
        <x:v>Frozen reference cutoff</x:v>
      </x:c>
      <x:c r="M5" s="6" t="str">
        <x:v>Reference input note</x:v>
      </x:c>
    </x:row>
    <x:row r="6" ht="130" customHeight="1">
      <x:c r="A6" s="9" t="n">
        <x:v>1</x:v>
      </x:c>
      <x:c r="B6" s="9" t="str">
        <x:v>AlliedEsportsEntertainmentInc_20190815_8-K_EX-10.19_11788293_EX-10.19_Content License Agreement.pdf</x:v>
      </x:c>
      <x:c r="C6" s="9" t="str">
        <x:v>Unknown</x:v>
      </x:c>
      <x:c r="D6" s="9" t="str">
        <x:v>Unknown</x:v>
      </x:c>
      <x:c r="E6" s="9" t="str">
        <x:v>No fixed first-term cutoff</x:v>
      </x:c>
      <x:c r="F6" s="9" t="str">
        <x:v>No</x:v>
      </x:c>
      <x:c r="G6" s="9" t="str">
        <x:v>Not scored</x:v>
      </x:c>
      <x:c r="H6" s="9" t="str">
        <x:v>no_fixed_cutoff</x:v>
      </x:c>
      <x:c r="I6" s="9" t="str">
        <x:v>no_fixed_cutoff</x:v>
      </x:c>
      <x:c r="J6" s="9" t="str">
        <x:v>not_applicable</x:v>
      </x:c>
      <x:c r="K6" s="9" t="str">
        <x:v>human_review</x:v>
      </x:c>
      <x:c r="L6" s="9" t="str">
        <x:v>No fixed notice cutoff in §3</x:v>
      </x:c>
      <x:c r="M6" s="9" t="str">
        <x:v>Condition depends on payment evidence outside the renewal clause; check other notice provisions before adjudicating.</x:v>
      </x:c>
    </x:row>
    <x:row r="7" ht="130" customHeight="1">
      <x:c r="A7" s="9" t="n">
        <x:v>2</x:v>
      </x:c>
      <x:c r="B7" s="9" t="str">
        <x:v>ArcaUsTreasuryFund_20200207_N-2_EX-99.K5_11971930_EX-99.K5_Development Agreement.pdf</x:v>
      </x:c>
      <x:c r="C7" s="9" t="str">
        <x:v>Unknown</x:v>
      </x:c>
      <x:c r="D7" s="9" t="str">
        <x:v>Unknown</x:v>
      </x:c>
      <x:c r="E7" s="9" t="str">
        <x:v>No fixed first-term cutoff</x:v>
      </x:c>
      <x:c r="F7" s="9" t="str">
        <x:v>No</x:v>
      </x:c>
      <x:c r="G7" s="9" t="str">
        <x:v>Not scored</x:v>
      </x:c>
      <x:c r="H7" s="9" t="str">
        <x:v>no_fixed_cutoff</x:v>
      </x:c>
      <x:c r="I7" s="9" t="str">
        <x:v>no_fixed_cutoff</x:v>
      </x:c>
      <x:c r="J7" s="9" t="str">
        <x:v>human_review</x:v>
      </x:c>
      <x:c r="K7" s="9" t="str">
        <x:v>human_review</x:v>
      </x:c>
      <x:c r="L7" s="9" t="str">
        <x:v>No fixed pre-renewal cutoff</x:v>
      </x:c>
      <x:c r="M7" s="9" t="str">
        <x:v>This is a form agreement with [___], 2020; date and annual approvals need external confirmation.</x:v>
      </x:c>
    </x:row>
    <x:row r="8" ht="130" customHeight="1">
      <x:c r="A8" s="9" t="n">
        <x:v>3</x:v>
      </x:c>
      <x:c r="B8" s="9" t="str">
        <x:v>AzulSa_20170303_F-1A_EX-10.3_9943903_EX-10.3_Maintenance Agreement1.pdf</x:v>
      </x:c>
      <x:c r="C8" s="9" t="str">
        <x:v>Unknown</x:v>
      </x:c>
      <x:c r="D8" s="9" t="str">
        <x:v>Unknown</x:v>
      </x:c>
      <x:c r="E8" s="9" t="str">
        <x:v>Unknown</x:v>
      </x:c>
      <x:c r="F8" s="9" t="str">
        <x:v>No</x:v>
      </x:c>
      <x:c r="G8" s="9" t="str">
        <x:v>Not scored</x:v>
      </x:c>
      <x:c r="H8" s="9" t="str">
        <x:v>review_required</x:v>
      </x:c>
      <x:c r="I8" s="9" t="str">
        <x:v>review_required</x:v>
      </x:c>
      <x:c r="J8" s="9" t="str">
        <x:v>human_review</x:v>
      </x:c>
      <x:c r="K8" s="9" t="str">
        <x:v>human_review</x:v>
      </x:c>
      <x:c r="L8" s="9" t="str">
        <x:v>Unknown — term and notice timing redacted</x:v>
      </x:c>
      <x:c r="M8" s="9" t="str">
        <x:v>Missing, redacted or ambiguous deadline input. Signing Date is established by explicit reference to p.4. Initial duration, renewal wording and notice lead time remain redacted. Start Date cannot be assumed without fulfillment of conditions.</x:v>
      </x:c>
    </x:row>
    <x:row r="9" ht="130" customHeight="1">
      <x:c r="A9" s="9" t="n">
        <x:v>4</x:v>
      </x:c>
      <x:c r="B9" s="9" t="str">
        <x:v>BizzingoInc_20120322_8-K_EX-10.17_7504499_EX-10.17_Endorsement Agreement.pdf</x:v>
      </x:c>
      <x:c r="C9" s="9" t="str">
        <x:v>Unknown</x:v>
      </x:c>
      <x:c r="D9" s="9" t="str">
        <x:v>Unknown</x:v>
      </x:c>
      <x:c r="E9" s="9" t="str">
        <x:v>No fixed first-term cutoff</x:v>
      </x:c>
      <x:c r="F9" s="9" t="str">
        <x:v>No</x:v>
      </x:c>
      <x:c r="G9" s="9" t="str">
        <x:v>Not scored</x:v>
      </x:c>
      <x:c r="H9" s="9" t="str">
        <x:v>no_fixed_cutoff</x:v>
      </x:c>
      <x:c r="I9" s="9" t="str">
        <x:v>no_fixed_cutoff</x:v>
      </x:c>
      <x:c r="J9" s="9" t="str">
        <x:v>not_applicable</x:v>
      </x:c>
      <x:c r="K9" s="9" t="str">
        <x:v>human_review</x:v>
      </x:c>
      <x:c r="L9" s="9" t="str">
        <x:v>No fixed notice cutoff</x:v>
      </x:c>
      <x:c r="M9" s="9" t="str">
        <x:v>Agreement made March 14 but expressly effective March 1.</x:v>
      </x:c>
    </x:row>
    <x:row r="10" ht="130" customHeight="1">
      <x:c r="A10" s="9" t="n">
        <x:v>5</x:v>
      </x:c>
      <x:c r="B10" s="9" t="str">
        <x:v>CoherusBiosciencesInc_20200227_10-K_EX-10.29_12021376_EX-10.29_Development Agreement.pdf</x:v>
      </x:c>
      <x:c r="C10" s="9" t="str">
        <x:v>Unknown</x:v>
      </x:c>
      <x:c r="D10" s="9" t="str">
        <x:v>Unknown</x:v>
      </x:c>
      <x:c r="E10" s="9" t="str">
        <x:v>No fixed first-term cutoff</x:v>
      </x:c>
      <x:c r="F10" s="9" t="str">
        <x:v>No</x:v>
      </x:c>
      <x:c r="G10" s="9" t="str">
        <x:v>Not scored</x:v>
      </x:c>
      <x:c r="H10" s="9" t="str">
        <x:v>no_fixed_cutoff</x:v>
      </x:c>
      <x:c r="I10" s="9" t="str">
        <x:v>no_fixed_cutoff</x:v>
      </x:c>
      <x:c r="J10" s="9" t="str">
        <x:v>human_review</x:v>
      </x:c>
      <x:c r="K10" s="9" t="str">
        <x:v>human_review</x:v>
      </x:c>
      <x:c r="L10" s="9" t="str">
        <x:v>No fixed pre-renewal cutoff</x:v>
      </x:c>
      <x:c r="M10" s="9" t="str">
        <x:v>First Commercial Sale is not dated in PDF; continuation has no finite renewal periods.</x:v>
      </x:c>
    </x:row>
    <x:row r="11" ht="130" customHeight="1">
      <x:c r="A11" s="9" t="n">
        <x:v>6</x:v>
      </x:c>
      <x:c r="B11" s="9" t="str">
        <x:v>DataCallTechnologies_20060918_SB-2A_EX-10.9_944510_EX-10.9_Content License Agreement.pdf</x:v>
      </x:c>
      <x:c r="C11" s="9" t="str">
        <x:v>2008-02-01</x:v>
      </x:c>
      <x:c r="D11" s="9" t="str">
        <x:v>2008-02-01</x:v>
      </x:c>
      <x:c r="E11" s="9" t="str">
        <x:v>Candidate only</x:v>
      </x:c>
      <x:c r="F11" s="9" t="str">
        <x:v>No</x:v>
      </x:c>
      <x:c r="G11" s="9" t="str">
        <x:v>Not scored</x:v>
      </x:c>
      <x:c r="H11" s="9" t="str">
        <x:v>cutoff_computed</x:v>
      </x:c>
      <x:c r="I11" s="9" t="str">
        <x:v>cutoff_computed</x:v>
      </x:c>
      <x:c r="J11" s="9" t="str">
        <x:v>cutoff_passed_verify_current_term</x:v>
      </x:c>
      <x:c r="K11" s="9" t="str">
        <x:v>human_review</x:v>
      </x:c>
      <x:c r="L11" s="9" t="str">
        <x:v>60 days before initial-term end; calendar date unknown</x:v>
      </x:c>
      <x:c r="M11" s="9" t="str">
        <x:v>Appendix 2 §2.2 states 04-01-08. Date order not explicitly resolved. April 1 candidate is unconfirmed; frozen reference omitted this schedule date. Signature dates 23/24 March 2006 appear, but PDF does not say which establishes effective date or whether further renewals occur.</x:v>
      </x:c>
    </x:row>
    <x:row r="12" ht="130" customHeight="1">
      <x:c r="A12" s="9" t="n">
        <x:v>7</x:v>
      </x:c>
      <x:c r="B12" s="9" t="str">
        <x:v>EdietsComInc_20001030_10QSB_EX-10.4_2606646_EX-10.4_Co-Branding Agreement.pdf</x:v>
      </x:c>
      <x:c r="C12" s="9" t="str">
        <x:v>2002-03-23</x:v>
      </x:c>
      <x:c r="D12" s="9" t="str">
        <x:v>2002-03-23</x:v>
      </x:c>
      <x:c r="E12" s="9" t="str">
        <x:v>Candidate only</x:v>
      </x:c>
      <x:c r="F12" s="9" t="str">
        <x:v>No</x:v>
      </x:c>
      <x:c r="G12" s="9" t="str">
        <x:v>Not scored</x:v>
      </x:c>
      <x:c r="H12" s="9" t="str">
        <x:v>cutoff_computed</x:v>
      </x:c>
      <x:c r="I12" s="9" t="str">
        <x:v>cutoff_computed</x:v>
      </x:c>
      <x:c r="J12" s="9" t="str">
        <x:v>human_review</x:v>
      </x:c>
      <x:c r="K12" s="9" t="str">
        <x:v>human_review</x:v>
      </x:c>
      <x:c r="L12" s="9" t="str">
        <x:v>60 days before Initial Term end; term-end convention requires review</x:v>
      </x:c>
      <x:c r="M12" s="9" t="str">
        <x:v>Anniversary endpoint convention not confirmed. Initial anniversary is 2002-05-22; candidate first cutoff 2002-03-23 if anniversary is endpoint. §10.1 notice sentence explicitly says Initial Term, not subsequent terms.</x:v>
      </x:c>
    </x:row>
    <x:row r="13" ht="130" customHeight="1">
      <x:c r="A13" s="9" t="n">
        <x:v>8</x:v>
      </x:c>
      <x:c r="B13" s="9" t="str">
        <x:v>FuseMedicalInc_20190321_10-K_EX-10.43_11575454_EX-10.43_Distributor Agreement.pdf</x:v>
      </x:c>
      <x:c r="C13" s="9" t="str">
        <x:v>Unknown</x:v>
      </x:c>
      <x:c r="D13" s="9" t="str">
        <x:v>Unknown</x:v>
      </x:c>
      <x:c r="E13" s="9" t="str">
        <x:v>No fixed first-term cutoff</x:v>
      </x:c>
      <x:c r="F13" s="9" t="str">
        <x:v>No</x:v>
      </x:c>
      <x:c r="G13" s="9" t="str">
        <x:v>Not scored</x:v>
      </x:c>
      <x:c r="H13" s="9" t="str">
        <x:v>no_fixed_cutoff</x:v>
      </x:c>
      <x:c r="I13" s="9" t="str">
        <x:v>no_fixed_cutoff</x:v>
      </x:c>
      <x:c r="J13" s="9" t="str">
        <x:v>not_applicable</x:v>
      </x:c>
      <x:c r="K13" s="9" t="str">
        <x:v>human_review</x:v>
      </x:c>
      <x:c r="L13" s="9" t="str">
        <x:v>No fixed pre-renewal cutoff</x:v>
      </x:c>
      <x:c r="M13" s="9" t="str">
        <x:v>Check whether cover date is operative agreement date; notice can be given during initial year.</x:v>
      </x:c>
    </x:row>
    <x:row r="14" ht="130" customHeight="1">
      <x:c r="A14" s="9" t="n">
        <x:v>9</x:v>
      </x:c>
      <x:c r="B14" s="9" t="str">
        <x:v>GentechHoldingsInc_20190808_1-A_EX1A-6 MAT CTRCT_11776814_EX1A-6 MAT CTRCT_Distributor Agreement.pdf</x:v>
      </x:c>
      <x:c r="C14" s="9" t="str">
        <x:v>Unknown</x:v>
      </x:c>
      <x:c r="D14" s="9" t="str">
        <x:v>Unknown</x:v>
      </x:c>
      <x:c r="E14" s="9" t="str">
        <x:v>Unknown</x:v>
      </x:c>
      <x:c r="F14" s="9" t="str">
        <x:v>No</x:v>
      </x:c>
      <x:c r="G14" s="9" t="str">
        <x:v>Not scored</x:v>
      </x:c>
      <x:c r="H14" s="9" t="str">
        <x:v>review_required</x:v>
      </x:c>
      <x:c r="I14" s="9" t="str">
        <x:v>review_required</x:v>
      </x:c>
      <x:c r="J14" s="9" t="str">
        <x:v>human_review</x:v>
      </x:c>
      <x:c r="K14" s="9" t="str">
        <x:v>human_review</x:v>
      </x:c>
      <x:c r="L14" s="9" t="str">
        <x:v>Ambiguous “within 90 days of end”; human interpretation needed</x:v>
      </x:c>
      <x:c r="M14" s="9" t="str">
        <x:v>Missing, redacted or ambiguous deadline input. “Within ninety days of the end” does not unambiguously say no later than 90 days before.</x:v>
      </x:c>
    </x:row>
    <x:row r="15" ht="130" customHeight="1">
      <x:c r="A15" s="9" t="n">
        <x:v>10</x:v>
      </x:c>
      <x:c r="B15" s="9" t="str">
        <x:v>GlobalTechnologiesGroupInc_20050928_10KSB_EX-10.9_4148808_EX-10.9_Content License Agreement.pdf</x:v>
      </x:c>
      <x:c r="C15" s="9" t="str">
        <x:v>Unknown</x:v>
      </x:c>
      <x:c r="D15" s="9" t="str">
        <x:v>Unknown</x:v>
      </x:c>
      <x:c r="E15" s="9" t="str">
        <x:v>No fixed first-term cutoff</x:v>
      </x:c>
      <x:c r="F15" s="9" t="str">
        <x:v>No</x:v>
      </x:c>
      <x:c r="G15" s="9" t="str">
        <x:v>Not scored</x:v>
      </x:c>
      <x:c r="H15" s="9" t="str">
        <x:v>no_fixed_cutoff</x:v>
      </x:c>
      <x:c r="I15" s="9" t="str">
        <x:v>no_fixed_cutoff</x:v>
      </x:c>
      <x:c r="J15" s="9" t="str">
        <x:v>human_review</x:v>
      </x:c>
      <x:c r="K15" s="9" t="str">
        <x:v>human_review</x:v>
      </x:c>
      <x:c r="L15" s="9" t="str">
        <x:v>No fixed notice cutoff</x:v>
      </x:c>
      <x:c r="M15" s="9" t="str">
        <x:v>Agreement effective on last signature, but Launch date is not shown.</x:v>
      </x:c>
    </x:row>
    <x:row r="16" ht="130" customHeight="1">
      <x:c r="A16" s="9" t="n">
        <x:v>11</x:v>
      </x:c>
      <x:c r="B16" s="9" t="str">
        <x:v>GpaqAcquisitionHoldingsInc_20200123_S-4A_EX-10.6_11951677_EX-10.6_License Agreement.pdf</x:v>
      </x:c>
      <x:c r="C16" s="9" t="str">
        <x:v>Unknown</x:v>
      </x:c>
      <x:c r="D16" s="9" t="str">
        <x:v>2034-06-30</x:v>
      </x:c>
      <x:c r="E16" s="9" t="str">
        <x:v>Candidate only</x:v>
      </x:c>
      <x:c r="F16" s="9" t="str">
        <x:v>No</x:v>
      </x:c>
      <x:c r="G16" s="9" t="str">
        <x:v>Not scored</x:v>
      </x:c>
      <x:c r="H16" s="9" t="str">
        <x:v>review_required</x:v>
      </x:c>
      <x:c r="I16" s="9" t="str">
        <x:v>cutoff_computed</x:v>
      </x:c>
      <x:c r="J16" s="9" t="str">
        <x:v>human_review</x:v>
      </x:c>
      <x:c r="K16" s="9" t="str">
        <x:v>human_review</x:v>
      </x:c>
      <x:c r="L16" s="9" t="str">
        <x:v>2034-06-30 candidate (six calendar months before 2034-12-31; month-end convention to verify)</x:v>
      </x:c>
      <x:c r="M16" s="9" t="str">
        <x:v>Explicit term end. Month subtraction uses day clamping; queue remains human review. Effective Date unknown in PDF, but initial expiration is explicit; later negotiated amendment is a separate alternative after notice.</x:v>
      </x:c>
    </x:row>
    <x:row r="17" ht="130" customHeight="1">
      <x:c r="A17" s="9" t="n">
        <x:v>12</x:v>
      </x:c>
      <x:c r="B17" s="9" t="str">
        <x:v>HfEnterprisesInc_20191223_S-1_EX-10.22_11931299_EX-10.22_Development Agreement.pdf</x:v>
      </x:c>
      <x:c r="C17" s="9" t="str">
        <x:v>Unknown</x:v>
      </x:c>
      <x:c r="D17" s="9" t="str">
        <x:v>2019-01-30</x:v>
      </x:c>
      <x:c r="E17" s="9" t="str">
        <x:v>Candidate only</x:v>
      </x:c>
      <x:c r="F17" s="9" t="str">
        <x:v>No</x:v>
      </x:c>
      <x:c r="G17" s="9" t="str">
        <x:v>Not scored</x:v>
      </x:c>
      <x:c r="H17" s="9" t="str">
        <x:v>no_fixed_cutoff</x:v>
      </x:c>
      <x:c r="I17" s="9" t="str">
        <x:v>cutoff_computed</x:v>
      </x:c>
      <x:c r="J17" s="9" t="str">
        <x:v>not_applicable</x:v>
      </x:c>
      <x:c r="K17" s="9" t="str">
        <x:v>human_review</x:v>
      </x:c>
      <x:c r="L17" s="9" t="str">
        <x:v>30 days before applicable term end; initial end-day convention requires review</x:v>
      </x:c>
      <x:c r="M17" s="9" t="str">
        <x:v>Anniversary endpoint and monthly rollover interaction unresolved. Both 30-day notice rules are preserved separately. Initial anniversary is 2019-03-01; candidate first cutoff 2019-01-30 if anniversary is endpoint. Keep exact expiry convention and 30-day/monthly-period interaction under review. §2.1 renewal prevention and §2.2.1 early termination each have a 30-day notice.</x:v>
      </x:c>
    </x:row>
    <x:row r="18" ht="130" customHeight="1">
      <x:c r="A18" s="9" t="n">
        <x:v>13</x:v>
      </x:c>
      <x:c r="B18" s="9" t="str">
        <x:v>InmodeLtd_20190729_F-1A_EX-10.9_11743243_EX-10.9_Manufacturing Agreement.pdf</x:v>
      </x:c>
      <x:c r="C18" s="9" t="str">
        <x:v>Unknown</x:v>
      </x:c>
      <x:c r="D18" s="9" t="str">
        <x:v>Unknown</x:v>
      </x:c>
      <x:c r="E18" s="9" t="str">
        <x:v>Unknown</x:v>
      </x:c>
      <x:c r="F18" s="9" t="str">
        <x:v>No</x:v>
      </x:c>
      <x:c r="G18" s="9" t="str">
        <x:v>Not scored</x:v>
      </x:c>
      <x:c r="H18" s="9" t="str">
        <x:v>review_required</x:v>
      </x:c>
      <x:c r="I18" s="9" t="str">
        <x:v>review_required</x:v>
      </x:c>
      <x:c r="J18" s="9" t="str">
        <x:v>human_review</x:v>
      </x:c>
      <x:c r="K18" s="9" t="str">
        <x:v>human_review</x:v>
      </x:c>
      <x:c r="L18" s="9" t="str">
        <x:v>90 days before anniversary; initial anniversary uncertain</x:v>
      </x:c>
      <x:c r="M18" s="9" t="str">
        <x:v>Missing, redacted or ambiguous deadline input. Rendered PDF p.1 confirms missing duration number: “an initial term of year”. Date 1.4.2011 interpreted DD.MM.YYYY; retain review rather than assume initial duration.</x:v>
      </x:c>
    </x:row>
    <x:row r="19" ht="130" customHeight="1">
      <x:c r="A19" s="9" t="n">
        <x:v>14</x:v>
      </x:c>
      <x:c r="B19" s="9" t="str">
        <x:v>KitovPharmaLtd_20190326_20-F_EX-4.15_11584449_EX-4.15_Manufacturing Agreement.pdf</x:v>
      </x:c>
      <x:c r="C19" s="9" t="str">
        <x:v>Unknown</x:v>
      </x:c>
      <x:c r="D19" s="9" t="str">
        <x:v>Unknown</x:v>
      </x:c>
      <x:c r="E19" s="9" t="str">
        <x:v>Unknown</x:v>
      </x:c>
      <x:c r="F19" s="9" t="str">
        <x:v>No</x:v>
      </x:c>
      <x:c r="G19" s="9" t="str">
        <x:v>Not scored</x:v>
      </x:c>
      <x:c r="H19" s="9" t="str">
        <x:v>review_required</x:v>
      </x:c>
      <x:c r="I19" s="9" t="str">
        <x:v>review_required</x:v>
      </x:c>
      <x:c r="J19" s="9" t="str">
        <x:v>human_review</x:v>
      </x:c>
      <x:c r="K19" s="9" t="str">
        <x:v>human_review</x:v>
      </x:c>
      <x:c r="L19" s="9" t="str">
        <x:v>Unknown — duration, start and notice time unavailable</x:v>
      </x:c>
      <x:c r="M19" s="9" t="str">
        <x:v>Missing, redacted or ambiguous deadline input. Material timing redacted; signature dates blank in this copy.</x:v>
      </x:c>
    </x:row>
    <x:row r="20" ht="130" customHeight="1">
      <x:c r="A20" s="9" t="n">
        <x:v>15</x:v>
      </x:c>
      <x:c r="B20" s="9" t="str">
        <x:v>LeadersonlineInc_20000427_S-1A_EX-10.8_4991089_EX-10.8_Co-Branding Agreement.pdf</x:v>
      </x:c>
      <x:c r="C20" s="9" t="str">
        <x:v>2001-03-17</x:v>
      </x:c>
      <x:c r="D20" s="9" t="str">
        <x:v>2001-03-17</x:v>
      </x:c>
      <x:c r="E20" s="9" t="str">
        <x:v>Confirmed</x:v>
      </x:c>
      <x:c r="F20" s="9" t="str">
        <x:v>Yes</x:v>
      </x:c>
      <x:c r="G20" s="9" t="str">
        <x:v>Match</x:v>
      </x:c>
      <x:c r="H20" s="9" t="str">
        <x:v>cutoff_computed</x:v>
      </x:c>
      <x:c r="I20" s="9" t="str">
        <x:v>cutoff_computed</x:v>
      </x:c>
      <x:c r="J20" s="9" t="str">
        <x:v>human_review</x:v>
      </x:c>
      <x:c r="K20" s="9" t="str">
        <x:v>human_review</x:v>
      </x:c>
      <x:c r="L20" s="9" t="str">
        <x:v>2001-03-17 (90 days before 2001-06-15)</x:v>
      </x:c>
      <x:c r="M20" s="9" t="str">
        <x:v>Election alone does not extend; VerticalNet may decline.</x:v>
      </x:c>
    </x:row>
    <x:row r="21" ht="130" customHeight="1">
      <x:c r="A21" s="9" t="n">
        <x:v>16</x:v>
      </x:c>
      <x:c r="B21" s="9" t="str">
        <x:v>LegacyEducationAllianceInc_20141110_8-K_EX-10.9_8828866_EX-10.9_Endorsement Agreement.pdf</x:v>
      </x:c>
      <x:c r="C21" s="9" t="str">
        <x:v>Unknown</x:v>
      </x:c>
      <x:c r="D21" s="9" t="str">
        <x:v>Unknown</x:v>
      </x:c>
      <x:c r="E21" s="9" t="str">
        <x:v>No fixed first-term cutoff</x:v>
      </x:c>
      <x:c r="F21" s="9" t="str">
        <x:v>No</x:v>
      </x:c>
      <x:c r="G21" s="9" t="str">
        <x:v>Not scored</x:v>
      </x:c>
      <x:c r="H21" s="9" t="str">
        <x:v>no_fixed_cutoff</x:v>
      </x:c>
      <x:c r="I21" s="9" t="str">
        <x:v>no_fixed_cutoff</x:v>
      </x:c>
      <x:c r="J21" s="9" t="str">
        <x:v>human_review</x:v>
      </x:c>
      <x:c r="K21" s="9" t="str">
        <x:v>human_review</x:v>
      </x:c>
      <x:c r="L21" s="9" t="str">
        <x:v>No fixed notice cutoff</x:v>
      </x:c>
      <x:c r="M21" s="9" t="str">
        <x:v>Do not substitute 2013-01-01 Commencement Date for blank execution date.</x:v>
      </x:c>
    </x:row>
    <x:row r="22" ht="130" customHeight="1">
      <x:c r="A22" s="9" t="n">
        <x:v>17</x:v>
      </x:c>
      <x:c r="B22" s="9" t="str">
        <x:v>LegacyEducationAllianceInc_20200330_10-K_EX-10.18_12090678_EX-10.18_Development Agreement.pdf</x:v>
      </x:c>
      <x:c r="C22" s="9" t="str">
        <x:v>Unknown</x:v>
      </x:c>
      <x:c r="D22" s="9" t="str">
        <x:v>2024-09-24</x:v>
      </x:c>
      <x:c r="E22" s="9" t="str">
        <x:v>Candidate only</x:v>
      </x:c>
      <x:c r="F22" s="9" t="str">
        <x:v>No</x:v>
      </x:c>
      <x:c r="G22" s="9" t="str">
        <x:v>Not scored</x:v>
      </x:c>
      <x:c r="H22" s="9" t="str">
        <x:v>review_required</x:v>
      </x:c>
      <x:c r="I22" s="9" t="str">
        <x:v>cutoff_computed</x:v>
      </x:c>
      <x:c r="J22" s="9" t="str">
        <x:v>human_review</x:v>
      </x:c>
      <x:c r="K22" s="9" t="str">
        <x:v>human_review</x:v>
      </x:c>
      <x:c r="L22" s="9" t="str">
        <x:v>90 days before initial term end</x:v>
      </x:c>
      <x:c r="M22" s="9" t="str">
        <x:v>Five-year anniversary endpoint convention not confirmed. Initial anniversary is 2024-12-23; candidate first cutoff 2024-09-24 if anniversary is endpoint. Opening displays “12-23-2019 , 2019”.</x:v>
      </x:c>
    </x:row>
    <x:row r="23" ht="130" customHeight="1">
      <x:c r="A23" s="9" t="n">
        <x:v>18</x:v>
      </x:c>
      <x:c r="B23" s="9" t="str">
        <x:v>MidwestEnergyEmissionsCorp_20080604_8-K_EX-10.2_3093976_EX-10.2_Content License Agreement.pdf</x:v>
      </x:c>
      <x:c r="C23" s="9" t="str">
        <x:v>Unknown</x:v>
      </x:c>
      <x:c r="D23" s="9" t="str">
        <x:v>Unknown</x:v>
      </x:c>
      <x:c r="E23" s="9" t="str">
        <x:v>Unknown</x:v>
      </x:c>
      <x:c r="F23" s="9" t="str">
        <x:v>No</x:v>
      </x:c>
      <x:c r="G23" s="9" t="str">
        <x:v>Not scored</x:v>
      </x:c>
      <x:c r="H23" s="9" t="str">
        <x:v>review_required</x:v>
      </x:c>
      <x:c r="I23" s="9" t="str">
        <x:v>review_required</x:v>
      </x:c>
      <x:c r="J23" s="9" t="str">
        <x:v>human_review</x:v>
      </x:c>
      <x:c r="K23" s="9" t="str">
        <x:v>human_review</x:v>
      </x:c>
      <x:c r="L23" s="9" t="str">
        <x:v>90 days before term end; calendar date unknown</x:v>
      </x:c>
      <x:c r="M23" s="9" t="str">
        <x:v>Missing, redacted or ambiguous deadline input. Made-as-of date and bilateral execution trigger are not necessarily identical.</x:v>
      </x:c>
    </x:row>
    <x:row r="24" ht="130" customHeight="1">
      <x:c r="A24" s="9" t="n">
        <x:v>19</x:v>
      </x:c>
      <x:c r="B24" s="9" t="str">
        <x:v>MphaseTechnologiesInc_20030911_10-K_EX-10.15_1560667_EX-10.15_Co-Branding Agreement.pdf</x:v>
      </x:c>
      <x:c r="C24" s="9" t="str">
        <x:v>Unknown</x:v>
      </x:c>
      <x:c r="D24" s="9" t="str">
        <x:v>Unknown</x:v>
      </x:c>
      <x:c r="E24" s="9" t="str">
        <x:v>No fixed first-term cutoff</x:v>
      </x:c>
      <x:c r="F24" s="9" t="str">
        <x:v>No</x:v>
      </x:c>
      <x:c r="G24" s="9" t="str">
        <x:v>Not scored</x:v>
      </x:c>
      <x:c r="H24" s="9" t="str">
        <x:v>no_fixed_cutoff</x:v>
      </x:c>
      <x:c r="I24" s="9" t="str">
        <x:v>no_fixed_cutoff</x:v>
      </x:c>
      <x:c r="J24" s="9" t="str">
        <x:v>human_review</x:v>
      </x:c>
      <x:c r="K24" s="9" t="str">
        <x:v>human_review</x:v>
      </x:c>
      <x:c r="L24" s="9" t="str">
        <x:v>No fixed pre-renewal cutoff</x:v>
      </x:c>
      <x:c r="M24" s="9" t="str">
        <x:v>30 days is rolling termination notice, not a deadline for mPhase renewal request.</x:v>
      </x:c>
    </x:row>
    <x:row r="25" ht="130" customHeight="1">
      <x:c r="A25" s="9" t="n">
        <x:v>20</x:v>
      </x:c>
      <x:c r="B25" s="9" t="str">
        <x:v>MusclepharmCorp_20170208_10-KA_EX-10.38_9893581_EX-10.38_Co-Branding Agreement.pdf</x:v>
      </x:c>
      <x:c r="C25" s="9" t="str">
        <x:v>Unknown</x:v>
      </x:c>
      <x:c r="D25" s="9" t="str">
        <x:v>Unknown</x:v>
      </x:c>
      <x:c r="E25" s="9" t="str">
        <x:v>No fixed first-term cutoff</x:v>
      </x:c>
      <x:c r="F25" s="9" t="str">
        <x:v>No</x:v>
      </x:c>
      <x:c r="G25" s="9" t="str">
        <x:v>Not scored</x:v>
      </x:c>
      <x:c r="H25" s="9" t="str">
        <x:v>no_fixed_cutoff</x:v>
      </x:c>
      <x:c r="I25" s="9" t="str">
        <x:v>no_fixed_cutoff</x:v>
      </x:c>
      <x:c r="J25" s="9" t="str">
        <x:v>human_review</x:v>
      </x:c>
      <x:c r="K25" s="9" t="str">
        <x:v>human_review</x:v>
      </x:c>
      <x:c r="L25" s="9" t="str">
        <x:v>No fixed notice cutoff</x:v>
      </x:c>
      <x:c r="M25" s="9" t="str">
        <x:v>Start predates effective date; sales thresholds require external records.</x:v>
      </x:c>
    </x:row>
    <x:row r="26" ht="130" customHeight="1">
      <x:c r="A26" s="9" t="n">
        <x:v>21</x:v>
      </x:c>
      <x:c r="B26" s="9" t="str">
        <x:v>NeoformaInc_19991202_S-1A_EX-10.26_5224521_EX-10.26_Co-Branding Agreement.pdf</x:v>
      </x:c>
      <x:c r="C26" s="9" t="str">
        <x:v>2001-10-19</x:v>
      </x:c>
      <x:c r="D26" s="9" t="str">
        <x:v>2001-10-19</x:v>
      </x:c>
      <x:c r="E26" s="9" t="str">
        <x:v>Confirmed</x:v>
      </x:c>
      <x:c r="F26" s="9" t="str">
        <x:v>Yes</x:v>
      </x:c>
      <x:c r="G26" s="9" t="str">
        <x:v>Match</x:v>
      </x:c>
      <x:c r="H26" s="9" t="str">
        <x:v>cutoff_computed</x:v>
      </x:c>
      <x:c r="I26" s="9" t="str">
        <x:v>cutoff_computed</x:v>
      </x:c>
      <x:c r="J26" s="9" t="str">
        <x:v>cutoff_passed_verify_current_term</x:v>
      </x:c>
      <x:c r="K26" s="9" t="str">
        <x:v>cutoff_passed_verify_current_term</x:v>
      </x:c>
      <x:c r="L26" s="9" t="str">
        <x:v>2001-10-19 (30 days before 2001-11-18)</x:v>
      </x:c>
      <x:c r="M26" s="9" t="str">
        <x:v>Clause calls the opt-out a Termination Notice but it prevents renewal.</x:v>
      </x:c>
    </x:row>
    <x:row r="27" ht="130" customHeight="1">
      <x:c r="A27" s="9" t="n">
        <x:v>22</x:v>
      </x:c>
      <x:c r="B27" s="9" t="str">
        <x:v>PacificapEntertainmentHoldingsInc_20051115_8-KA_EX-1.01_4300894_EX-1.01_Content License Agreement.pdf</x:v>
      </x:c>
      <x:c r="C27" s="9" t="str">
        <x:v>Unknown</x:v>
      </x:c>
      <x:c r="D27" s="9" t="str">
        <x:v>Unknown</x:v>
      </x:c>
      <x:c r="E27" s="9" t="str">
        <x:v>Unknown</x:v>
      </x:c>
      <x:c r="F27" s="9" t="str">
        <x:v>No</x:v>
      </x:c>
      <x:c r="G27" s="9" t="str">
        <x:v>Not scored</x:v>
      </x:c>
      <x:c r="H27" s="9" t="str">
        <x:v>review_required</x:v>
      </x:c>
      <x:c r="I27" s="9" t="str">
        <x:v>review_required</x:v>
      </x:c>
      <x:c r="J27" s="9" t="str">
        <x:v>human_review</x:v>
      </x:c>
      <x:c r="K27" s="9" t="str">
        <x:v>human_review</x:v>
      </x:c>
      <x:c r="L27" s="9" t="str">
        <x:v>60 days before term end; calendar date unknown</x:v>
      </x:c>
      <x:c r="M27" s="9" t="str">
        <x:v>Missing, redacted or ambiguous deadline input. Neither last signature nor first public availability is established.</x:v>
      </x:c>
    </x:row>
    <x:row r="28" ht="130" customHeight="1">
      <x:c r="A28" s="9" t="n">
        <x:v>23</x:v>
      </x:c>
      <x:c r="B28" s="9" t="str">
        <x:v>PapaJohnsInternationalInc_20190617_8-K_EX-10.1_11707365_EX-10.1_Endorsement Agreement.pdf</x:v>
      </x:c>
      <x:c r="C28" s="9" t="str">
        <x:v>Unknown</x:v>
      </x:c>
      <x:c r="D28" s="9" t="str">
        <x:v>Unknown</x:v>
      </x:c>
      <x:c r="E28" s="9" t="str">
        <x:v>No fixed first-term cutoff</x:v>
      </x:c>
      <x:c r="F28" s="9" t="str">
        <x:v>No</x:v>
      </x:c>
      <x:c r="G28" s="9" t="str">
        <x:v>Not scored</x:v>
      </x:c>
      <x:c r="H28" s="9" t="str">
        <x:v>no_fixed_cutoff</x:v>
      </x:c>
      <x:c r="I28" s="9" t="str">
        <x:v>no_fixed_cutoff</x:v>
      </x:c>
      <x:c r="J28" s="9" t="str">
        <x:v>human_review</x:v>
      </x:c>
      <x:c r="K28" s="9" t="str">
        <x:v>not_applicable</x:v>
      </x:c>
      <x:c r="L28" s="9" t="str">
        <x:v>No fixed notice cutoff</x:v>
      </x:c>
      <x:c r="M28" s="9" t="str">
        <x:v>Do not treat insurance policy notice as contract renewal notice.</x:v>
      </x:c>
    </x:row>
    <x:row r="29" ht="130" customHeight="1">
      <x:c r="A29" s="9" t="n">
        <x:v>24</x:v>
      </x:c>
      <x:c r="B29" s="9" t="str">
        <x:v>ParatekPharmaceuticalsInc_20170505_10-KA_EX-10.29_10323872_EX-10.29_Outsourcing Agreement.pdf</x:v>
      </x:c>
      <x:c r="C29" s="9" t="str">
        <x:v>Unknown</x:v>
      </x:c>
      <x:c r="D29" s="9" t="str">
        <x:v>Unknown</x:v>
      </x:c>
      <x:c r="E29" s="9" t="str">
        <x:v>Unknown</x:v>
      </x:c>
      <x:c r="F29" s="9" t="str">
        <x:v>No</x:v>
      </x:c>
      <x:c r="G29" s="9" t="str">
        <x:v>Not scored</x:v>
      </x:c>
      <x:c r="H29" s="9" t="str">
        <x:v>review_required</x:v>
      </x:c>
      <x:c r="I29" s="9" t="str">
        <x:v>review_required</x:v>
      </x:c>
      <x:c r="J29" s="9" t="str">
        <x:v>human_review</x:v>
      </x:c>
      <x:c r="K29" s="9" t="str">
        <x:v>human_review</x:v>
      </x:c>
      <x:c r="L29" s="9" t="str">
        <x:v>Unknown — term end and notice periods redacted</x:v>
      </x:c>
      <x:c r="M29" s="9" t="str">
        <x:v>Missing, redacted or ambiguous deadline input. Follow-on negotiations and automatic bridge coexist; material dates are redacted.</x:v>
      </x:c>
    </x:row>
    <x:row r="30" ht="130" customHeight="1">
      <x:c r="A30" s="9" t="n">
        <x:v>25</x:v>
      </x:c>
      <x:c r="B30" s="9" t="str">
        <x:v>PfHospitalityGroupInc_20150923_10-12G_EX-10.1_9266710_EX-10.1_Franchise Agreement1.pdf</x:v>
      </x:c>
      <x:c r="C30" s="9" t="str">
        <x:v>Unknown</x:v>
      </x:c>
      <x:c r="D30" s="9" t="str">
        <x:v>Unknown</x:v>
      </x:c>
      <x:c r="E30" s="9" t="str">
        <x:v>Unknown</x:v>
      </x:c>
      <x:c r="F30" s="9" t="str">
        <x:v>No</x:v>
      </x:c>
      <x:c r="G30" s="9" t="str">
        <x:v>Not scored</x:v>
      </x:c>
      <x:c r="H30" s="9" t="str">
        <x:v>review_required</x:v>
      </x:c>
      <x:c r="I30" s="9" t="str">
        <x:v>review_required</x:v>
      </x:c>
      <x:c r="J30" s="9" t="str">
        <x:v>human_review</x:v>
      </x:c>
      <x:c r="K30" s="9" t="str">
        <x:v>human_review</x:v>
      </x:c>
      <x:c r="L30" s="9" t="str">
        <x:v>Window opens 12 months before and closes 9 months before expiry; calendar date unknown</x:v>
      </x:c>
      <x:c r="M30" s="9" t="str">
        <x:v>Missing, redacted or ambiguous deadline input. Form has no filled Agreement Date; successor franchise requires new agreement and conditions.</x:v>
      </x:c>
    </x:row>
    <x:row r="31" ht="130" customHeight="1">
      <x:c r="A31" s="9" t="n">
        <x:v>26</x:v>
      </x:c>
      <x:c r="B31" s="9" t="str">
        <x:v>RaeSystemsInc_20001114_10-Q_EX-10.57_2631790_EX-10.57_Co-Branding Agreement.pdf</x:v>
      </x:c>
      <x:c r="C31" s="9" t="str">
        <x:v>Unknown</x:v>
      </x:c>
      <x:c r="D31" s="9" t="str">
        <x:v>Unknown</x:v>
      </x:c>
      <x:c r="E31" s="9" t="str">
        <x:v>No fixed first-term cutoff</x:v>
      </x:c>
      <x:c r="F31" s="9" t="str">
        <x:v>No</x:v>
      </x:c>
      <x:c r="G31" s="9" t="str">
        <x:v>Not scored</x:v>
      </x:c>
      <x:c r="H31" s="9" t="str">
        <x:v>no_fixed_cutoff</x:v>
      </x:c>
      <x:c r="I31" s="9" t="str">
        <x:v>no_fixed_cutoff</x:v>
      </x:c>
      <x:c r="J31" s="9" t="str">
        <x:v>not_applicable</x:v>
      </x:c>
      <x:c r="K31" s="9" t="str">
        <x:v>human_review</x:v>
      </x:c>
      <x:c r="L31" s="9" t="str">
        <x:v>No fixed pre-renewal cutoff identified</x:v>
      </x:c>
      <x:c r="M31" s="9" t="str">
        <x:v>§8.2 expressly allows NETTAXI termination at any time on 60 days’ written notice; §8.3 addresses cause. Neither is a fixed non-renewal deadline.</x:v>
      </x:c>
    </x:row>
    <x:row r="32" ht="130" customHeight="1">
      <x:c r="A32" s="9" t="n">
        <x:v>27</x:v>
      </x:c>
      <x:c r="B32" s="9" t="str">
        <x:v>RandWorldwideInc_20010402_8-KA_EX-10.2_2102464_EX-10.2_Co-Branding Agreement.pdf</x:v>
      </x:c>
      <x:c r="C32" s="9" t="str">
        <x:v>Unknown</x:v>
      </x:c>
      <x:c r="D32" s="9" t="str">
        <x:v>Unknown</x:v>
      </x:c>
      <x:c r="E32" s="9" t="str">
        <x:v>Unknown</x:v>
      </x:c>
      <x:c r="F32" s="9" t="str">
        <x:v>No</x:v>
      </x:c>
      <x:c r="G32" s="9" t="str">
        <x:v>Not scored</x:v>
      </x:c>
      <x:c r="H32" s="9" t="str">
        <x:v>review_required</x:v>
      </x:c>
      <x:c r="I32" s="9" t="str">
        <x:v>review_required</x:v>
      </x:c>
      <x:c r="J32" s="9" t="str">
        <x:v>human_review</x:v>
      </x:c>
      <x:c r="K32" s="9" t="str">
        <x:v>human_review</x:v>
      </x:c>
      <x:c r="L32" s="9" t="str">
        <x:v>Six months before term end; calendar date unknown</x:v>
      </x:c>
      <x:c r="M32" s="9" t="str">
        <x:v>Missing, redacted or ambiguous deadline input. Launch date absent; §10.3 permits separate termination after failed revenue negotiations.</x:v>
      </x:c>
    </x:row>
    <x:row r="33" ht="130" customHeight="1">
      <x:c r="A33" s="9" t="n">
        <x:v>28</x:v>
      </x:c>
      <x:c r="B33" s="9" t="str">
        <x:v>RemarkHoldingsInc_20081114_10-Q_EX-10.24_2895649_EX-10.24_Content License Agreement.pdf</x:v>
      </x:c>
      <x:c r="C33" s="9" t="str">
        <x:v>Unknown</x:v>
      </x:c>
      <x:c r="D33" s="9" t="str">
        <x:v>Unknown</x:v>
      </x:c>
      <x:c r="E33" s="9" t="str">
        <x:v>Unknown</x:v>
      </x:c>
      <x:c r="F33" s="9" t="str">
        <x:v>No</x:v>
      </x:c>
      <x:c r="G33" s="9" t="str">
        <x:v>Not scored</x:v>
      </x:c>
      <x:c r="H33" s="9" t="str">
        <x:v>no_fixed_cutoff</x:v>
      </x:c>
      <x:c r="I33" s="9" t="str">
        <x:v>review_required</x:v>
      </x:c>
      <x:c r="J33" s="9" t="str">
        <x:v>human_review</x:v>
      </x:c>
      <x:c r="K33" s="9" t="str">
        <x:v>human_review</x:v>
      </x:c>
      <x:c r="L33" s="9" t="str">
        <x:v>Unknown — no agreement-wide fixed cutoff established</x:v>
      </x:c>
      <x:c r="M33" s="9" t="str">
        <x:v>Missing, redacted or ambiguous deadline input. Delivery Period ends December 30, 2009. Specific Translated Content renewal right is distinct from agreement-wide renewal; its duration is redacted.</x:v>
      </x:c>
    </x:row>
    <x:row r="34" ht="130" customHeight="1">
      <x:c r="A34" s="9" t="n">
        <x:v>29</x:v>
      </x:c>
      <x:c r="B34" s="9" t="str">
        <x:v>RitterPharmaceuticalsInc_20200313_S-4A_EX-10.54_12055220_EX-10.54_Development Agreement.pdf</x:v>
      </x:c>
      <x:c r="C34" s="9" t="str">
        <x:v>2020-10-30</x:v>
      </x:c>
      <x:c r="D34" s="9" t="str">
        <x:v>2020-11-01</x:v>
      </x:c>
      <x:c r="E34" s="9" t="str">
        <x:v>Candidate only</x:v>
      </x:c>
      <x:c r="F34" s="9" t="str">
        <x:v>No</x:v>
      </x:c>
      <x:c r="G34" s="9" t="str">
        <x:v>Not scored</x:v>
      </x:c>
      <x:c r="H34" s="9" t="str">
        <x:v>cutoff_computed</x:v>
      </x:c>
      <x:c r="I34" s="9" t="str">
        <x:v>cutoff_computed</x:v>
      </x:c>
      <x:c r="J34" s="9" t="str">
        <x:v>cutoff_passed_verify_current_term</x:v>
      </x:c>
      <x:c r="K34" s="9" t="str">
        <x:v>human_review</x:v>
      </x:c>
      <x:c r="L34" s="9" t="str">
        <x:v>Six months before initial term end</x:v>
      </x:c>
      <x:c r="M34" s="9" t="str">
        <x:v>Reference anniversary candidate differs from model day-before endpoint. No definitive endpoint chosen. Initial anniversary is 2021-05-01; candidate first cutoff 2020-11-01 if anniversary is endpoint. Endpoint convention should be fixed before calendar scoring.</x:v>
      </x:c>
    </x:row>
    <x:row r="35" ht="130" customHeight="1">
      <x:c r="A35" s="9" t="n">
        <x:v>30</x:v>
      </x:c>
      <x:c r="B35" s="9" t="str">
        <x:v>ScansourceInc_20190822_10-K_EX-10.38_11793958_EX-10.38_Distributor Agreement1.pdf</x:v>
      </x:c>
      <x:c r="C35" s="9" t="str">
        <x:v>Unknown</x:v>
      </x:c>
      <x:c r="D35" s="9" t="str">
        <x:v>2008-12-23</x:v>
      </x:c>
      <x:c r="E35" s="9" t="str">
        <x:v>Candidate only</x:v>
      </x:c>
      <x:c r="F35" s="9" t="str">
        <x:v>No</x:v>
      </x:c>
      <x:c r="G35" s="9" t="str">
        <x:v>Not scored</x:v>
      </x:c>
      <x:c r="H35" s="9" t="str">
        <x:v>review_required</x:v>
      </x:c>
      <x:c r="I35" s="9" t="str">
        <x:v>cutoff_computed</x:v>
      </x:c>
      <x:c r="J35" s="9" t="str">
        <x:v>human_review</x:v>
      </x:c>
      <x:c r="K35" s="9" t="str">
        <x:v>human_review</x:v>
      </x:c>
      <x:c r="L35" s="9" t="str">
        <x:v>30 days before then-current end; initial candidate 2008-12-23 if anniversary used as endpoint</x:v>
      </x:c>
      <x:c r="M35" s="9" t="str">
        <x:v>Anniversary endpoint convention not confirmed. Signature dates January 19 and 22, 2007 establish effective date. Initial candidate cutoff uses anniversary endpoint; do not treat later renewals as confirmed. Cisco may extend unilaterally, or parties by written agreement.</x:v>
      </x:c>
    </x:row>
    <x:row r="36" ht="130" customHeight="1">
      <x:c r="A36" s="9" t="n">
        <x:v>31</x:v>
      </x:c>
      <x:c r="B36" s="9" t="str">
        <x:v>SigaTechnologiesInc_20190603_8-K_EX-10.1_11695818_EX-10.1_Promotion Agreement.pdf</x:v>
      </x:c>
      <x:c r="C36" s="9" t="str">
        <x:v>2024-03-02</x:v>
      </x:c>
      <x:c r="D36" s="9" t="str">
        <x:v>2024-03-02</x:v>
      </x:c>
      <x:c r="E36" s="9" t="str">
        <x:v>Confirmed</x:v>
      </x:c>
      <x:c r="F36" s="9" t="str">
        <x:v>Yes</x:v>
      </x:c>
      <x:c r="G36" s="9" t="str">
        <x:v>Match</x:v>
      </x:c>
      <x:c r="H36" s="9" t="str">
        <x:v>cutoff_computed</x:v>
      </x:c>
      <x:c r="I36" s="9" t="str">
        <x:v>cutoff_computed</x:v>
      </x:c>
      <x:c r="J36" s="9" t="str">
        <x:v>cutoff_passed_verify_current_term</x:v>
      </x:c>
      <x:c r="K36" s="9" t="str">
        <x:v>cutoff_passed_verify_current_term</x:v>
      </x:c>
      <x:c r="L36" s="9" t="str">
        <x:v>2024-03-02 (90 days before 2024-05-31)</x:v>
      </x:c>
      <x:c r="M36" s="9" t="str">
        <x:v>Earlier termination routes are separate.</x:v>
      </x:c>
    </x:row>
    <x:row r="37" ht="130" customHeight="1">
      <x:c r="A37" s="9" t="n">
        <x:v>32</x:v>
      </x:c>
      <x:c r="B37" s="9" t="str">
        <x:v>StaarSurgicalCompany_20180801_10-Q_EX-10.37_11289449_EX-10.37_Distributor Agreement.pdf</x:v>
      </x:c>
      <x:c r="C37" s="9" t="str">
        <x:v>Unknown</x:v>
      </x:c>
      <x:c r="D37" s="9" t="str">
        <x:v>Unknown</x:v>
      </x:c>
      <x:c r="E37" s="9" t="str">
        <x:v>No fixed first-term cutoff</x:v>
      </x:c>
      <x:c r="F37" s="9" t="str">
        <x:v>No</x:v>
      </x:c>
      <x:c r="G37" s="9" t="str">
        <x:v>Not scored</x:v>
      </x:c>
      <x:c r="H37" s="9" t="str">
        <x:v>no_fixed_cutoff</x:v>
      </x:c>
      <x:c r="I37" s="9" t="str">
        <x:v>no_fixed_cutoff</x:v>
      </x:c>
      <x:c r="J37" s="9" t="str">
        <x:v>human_review</x:v>
      </x:c>
      <x:c r="K37" s="9" t="str">
        <x:v>human_review</x:v>
      </x:c>
      <x:c r="L37" s="9" t="str">
        <x:v>Before expiry, but calendar date unknown</x:v>
      </x:c>
      <x:c r="M37" s="9" t="str">
        <x:v>The execution and scheduled expiration dates are both blank.</x:v>
      </x:c>
    </x:row>
    <x:row r="38" ht="130" customHeight="1">
      <x:c r="A38" s="9" t="n">
        <x:v>33</x:v>
      </x:c>
      <x:c r="B38" s="9" t="str">
        <x:v>SteelVaultCorp_20081224_10-K_EX-10.16_3074935_EX-10.16_Affiliate Agreement.pdf</x:v>
      </x:c>
      <x:c r="C38" s="9" t="str">
        <x:v>Unknown</x:v>
      </x:c>
      <x:c r="D38" s="9" t="str">
        <x:v>Unknown</x:v>
      </x:c>
      <x:c r="E38" s="9" t="str">
        <x:v>No fixed first-term cutoff</x:v>
      </x:c>
      <x:c r="F38" s="9" t="str">
        <x:v>No</x:v>
      </x:c>
      <x:c r="G38" s="9" t="str">
        <x:v>Not scored</x:v>
      </x:c>
      <x:c r="H38" s="9" t="str">
        <x:v>no_fixed_cutoff</x:v>
      </x:c>
      <x:c r="I38" s="9" t="str">
        <x:v>no_fixed_cutoff</x:v>
      </x:c>
      <x:c r="J38" s="9" t="str">
        <x:v>not_applicable</x:v>
      </x:c>
      <x:c r="K38" s="9" t="str">
        <x:v>human_review</x:v>
      </x:c>
      <x:c r="L38" s="9" t="str">
        <x:v>No fixed notice cutoff</x:v>
      </x:c>
      <x:c r="M38" s="9" t="str">
        <x:v>A superseding agreement is separate from an opt-out notice.</x:v>
      </x:c>
    </x:row>
    <x:row r="39" ht="130" customHeight="1">
      <x:c r="A39" s="9" t="n">
        <x:v>34</x:v>
      </x:c>
      <x:c r="B39" s="9" t="str">
        <x:v>TodosMedicalLtd_20190328_20-F_EX-4.10_11587157_EX-4.10_Marketing Agreement_ Reseller Agreement.pdf</x:v>
      </x:c>
      <x:c r="C39" s="9" t="str">
        <x:v>Unknown</x:v>
      </x:c>
      <x:c r="D39" s="9" t="str">
        <x:v>Unknown</x:v>
      </x:c>
      <x:c r="E39" s="9" t="str">
        <x:v>Unknown</x:v>
      </x:c>
      <x:c r="F39" s="9" t="str">
        <x:v>No</x:v>
      </x:c>
      <x:c r="G39" s="9" t="str">
        <x:v>Not scored</x:v>
      </x:c>
      <x:c r="H39" s="9" t="str">
        <x:v>review_required</x:v>
      </x:c>
      <x:c r="I39" s="9" t="str">
        <x:v>review_required</x:v>
      </x:c>
      <x:c r="J39" s="9" t="str">
        <x:v>human_review</x:v>
      </x:c>
      <x:c r="K39" s="9" t="str">
        <x:v>human_review</x:v>
      </x:c>
      <x:c r="L39" s="9" t="str">
        <x:v>60 days before applicable later renewal end; calendar date unknown</x:v>
      </x:c>
      <x:c r="M39" s="9" t="str">
        <x:v>Missing, redacted or ambiguous deadline input. First renewal depends on milestone proof; initial-term end depends on first purchase order.</x:v>
      </x:c>
    </x:row>
    <x:row r="40" ht="130" customHeight="1">
      <x:c r="A40" s="9" t="n">
        <x:v>35</x:v>
      </x:c>
      <x:c r="B40" s="9" t="str">
        <x:v>TubeMediaCorp_20060310_8-K_EX-10.1_513921_EX-10.1_Affiliate Agreement.pdf</x:v>
      </x:c>
      <x:c r="C40" s="9" t="str">
        <x:v>2010-09-30</x:v>
      </x:c>
      <x:c r="D40" s="9" t="str">
        <x:v>2010-09-30</x:v>
      </x:c>
      <x:c r="E40" s="9" t="str">
        <x:v>Candidate only</x:v>
      </x:c>
      <x:c r="F40" s="9" t="str">
        <x:v>No</x:v>
      </x:c>
      <x:c r="G40" s="9" t="str">
        <x:v>Not scored</x:v>
      </x:c>
      <x:c r="H40" s="9" t="str">
        <x:v>cutoff_computed</x:v>
      </x:c>
      <x:c r="I40" s="9" t="str">
        <x:v>cutoff_computed</x:v>
      </x:c>
      <x:c r="J40" s="9" t="str">
        <x:v>cutoff_passed_verify_current_term</x:v>
      </x:c>
      <x:c r="K40" s="9" t="str">
        <x:v>human_review</x:v>
      </x:c>
      <x:c r="L40" s="9" t="str">
        <x:v>2010-09-30 (six calendar months before 2011-03-31; month-end convention to verify)</x:v>
      </x:c>
      <x:c r="M40" s="9" t="str">
        <x:v>Month subtraction convention applied for demonstration; reference marks month-end cutoff provisional. Only one automatic Renewal Term; further renewal subject to negotiation.</x:v>
      </x:c>
    </x:row>
    <x:row r="41" ht="130" customHeight="1">
      <x:c r="A41" s="9" t="n">
        <x:v>36</x:v>
      </x:c>
      <x:c r="B41" s="9" t="str">
        <x:v>UsioInc_20040428_SB-2_EX-10.11_1723988_EX-10.11_Affiliate Agreement 2.pdf</x:v>
      </x:c>
      <x:c r="C41" s="9" t="str">
        <x:v>Unknown</x:v>
      </x:c>
      <x:c r="D41" s="9" t="str">
        <x:v>Unknown</x:v>
      </x:c>
      <x:c r="E41" s="9" t="str">
        <x:v>Unknown</x:v>
      </x:c>
      <x:c r="F41" s="9" t="str">
        <x:v>No</x:v>
      </x:c>
      <x:c r="G41" s="9" t="str">
        <x:v>Not scored</x:v>
      </x:c>
      <x:c r="H41" s="9" t="str">
        <x:v>review_required</x:v>
      </x:c>
      <x:c r="I41" s="9" t="str">
        <x:v>review_required</x:v>
      </x:c>
      <x:c r="J41" s="9" t="str">
        <x:v>human_review</x:v>
      </x:c>
      <x:c r="K41" s="9" t="str">
        <x:v>human_review</x:v>
      </x:c>
      <x:c r="L41" s="9" t="str">
        <x:v>30 days before applicable term end; calendar date unknown</x:v>
      </x:c>
      <x:c r="M41" s="9" t="str">
        <x:v>Missing, redacted or ambiguous deadline input. Initial length conditional and start date blank.</x:v>
      </x:c>
    </x:row>
    <x:row r="42" ht="130" customHeight="1">
      <x:c r="A42" s="9" t="n">
        <x:v>37</x:v>
      </x:c>
      <x:c r="B42" s="9" t="str">
        <x:v>VertexEnergyInc_20200113_8-K_EX-10.1_11943624_EX-10.1_Marketing Agreement.pdf</x:v>
      </x:c>
      <x:c r="C42" s="9" t="str">
        <x:v>2028-12-31</x:v>
      </x:c>
      <x:c r="D42" s="9" t="str">
        <x:v>Unknown</x:v>
      </x:c>
      <x:c r="E42" s="9" t="str">
        <x:v>Unknown</x:v>
      </x:c>
      <x:c r="F42" s="9" t="str">
        <x:v>No</x:v>
      </x:c>
      <x:c r="G42" s="9" t="str">
        <x:v>Not scored</x:v>
      </x:c>
      <x:c r="H42" s="9" t="str">
        <x:v>cutoff_computed</x:v>
      </x:c>
      <x:c r="I42" s="9" t="str">
        <x:v>review_required</x:v>
      </x:c>
      <x:c r="J42" s="9" t="str">
        <x:v>human_review</x:v>
      </x:c>
      <x:c r="K42" s="9" t="str">
        <x:v>human_review</x:v>
      </x:c>
      <x:c r="L42" s="9" t="str">
        <x:v>120 [unit omitted] before 2029-04-30; exact period uncertain</x:v>
      </x:c>
      <x:c r="M42" s="9" t="str">
        <x:v>Missing, redacted or ambiguous deadline input. §5.2 literally omits “days” after 120; seek adjudication before exact-period scoring.</x:v>
      </x:c>
    </x:row>
    <x:row r="43" ht="130" customHeight="1">
      <x:c r="A43" s="9" t="n">
        <x:v>38</x:v>
      </x:c>
      <x:c r="B43" s="9" t="str">
        <x:v>VitalibisInc_20180316_8-K_EX-10.2_11100168_EX-10.2_Hosting Agreement.pdf</x:v>
      </x:c>
      <x:c r="C43" s="9" t="str">
        <x:v>Unknown</x:v>
      </x:c>
      <x:c r="D43" s="9" t="str">
        <x:v>2018-09-15</x:v>
      </x:c>
      <x:c r="E43" s="9" t="str">
        <x:v>Candidate only</x:v>
      </x:c>
      <x:c r="F43" s="9" t="str">
        <x:v>No</x:v>
      </x:c>
      <x:c r="G43" s="9" t="str">
        <x:v>Not scored</x:v>
      </x:c>
      <x:c r="H43" s="9" t="str">
        <x:v>review_required</x:v>
      </x:c>
      <x:c r="I43" s="9" t="str">
        <x:v>cutoff_computed</x:v>
      </x:c>
      <x:c r="J43" s="9" t="str">
        <x:v>human_review</x:v>
      </x:c>
      <x:c r="K43" s="9" t="str">
        <x:v>human_review</x:v>
      </x:c>
      <x:c r="L43" s="9" t="str">
        <x:v>180 days before initial-term expiry; convention for exact last day to verify</x:v>
      </x:c>
      <x:c r="M43" s="9" t="str">
        <x:v>Initial endpoint convention and separate rolling notice require review. Master §11.16 establishes later signature 2018-03-14, although SOW recites March 7. Initial anniversary 2019-03-14 gives candidate cutoff 2018-09-15; verify endpoint convention.</x:v>
      </x:c>
    </x:row>
    <x:row r="44" ht="130" customHeight="1">
      <x:c r="A44" s="9" t="n">
        <x:v>39</x:v>
      </x:c>
      <x:c r="B44" s="9" t="str">
        <x:v>WaterNowInc_20191120_10-Q_EX-10.12_11900227_EX-10.12_Distributor Agreement.pdf</x:v>
      </x:c>
      <x:c r="C44" s="9" t="str">
        <x:v>2024-07-15</x:v>
      </x:c>
      <x:c r="D44" s="9" t="str">
        <x:v>2024-07-15</x:v>
      </x:c>
      <x:c r="E44" s="9" t="str">
        <x:v>Confirmed</x:v>
      </x:c>
      <x:c r="F44" s="9" t="str">
        <x:v>Yes</x:v>
      </x:c>
      <x:c r="G44" s="9" t="str">
        <x:v>Match</x:v>
      </x:c>
      <x:c r="H44" s="9" t="str">
        <x:v>cutoff_computed</x:v>
      </x:c>
      <x:c r="I44" s="9" t="str">
        <x:v>cutoff_computed</x:v>
      </x:c>
      <x:c r="J44" s="9" t="str">
        <x:v>cutoff_passed_verify_current_term</x:v>
      </x:c>
      <x:c r="K44" s="9" t="str">
        <x:v>cutoff_passed_verify_current_term</x:v>
      </x:c>
      <x:c r="L44" s="9" t="str">
        <x:v>2024-07-15 (120 days before 2024-11-12)</x:v>
      </x:c>
      <x:c r="M44" s="9" t="str">
        <x:v>Notice prevents otherwise automatic renewal.</x:v>
      </x:c>
    </x:row>
    <x:row r="45" ht="130" customHeight="1">
      <x:c r="A45" s="9" t="n">
        <x:v>40</x:v>
      </x:c>
      <x:c r="B45" s="9" t="str">
        <x:v>XinhuaSportsEntertainmentLtd_20070221_F-1_EX-99.4_645553_EX-99.4_Content License Agreement.pdf</x:v>
      </x:c>
      <x:c r="C45" s="9" t="str">
        <x:v>Unknown</x:v>
      </x:c>
      <x:c r="D45" s="9" t="str">
        <x:v>2020-05-18</x:v>
      </x:c>
      <x:c r="E45" s="9" t="str">
        <x:v>Candidate only</x:v>
      </x:c>
      <x:c r="F45" s="9" t="str">
        <x:v>No</x:v>
      </x:c>
      <x:c r="G45" s="9" t="str">
        <x:v>Not scored</x:v>
      </x:c>
      <x:c r="H45" s="9" t="str">
        <x:v>review_required</x:v>
      </x:c>
      <x:c r="I45" s="9" t="str">
        <x:v>cutoff_computed</x:v>
      </x:c>
      <x:c r="J45" s="9" t="str">
        <x:v>human_review</x:v>
      </x:c>
      <x:c r="K45" s="9" t="str">
        <x:v>human_review</x:v>
      </x:c>
      <x:c r="L45" s="9" t="str">
        <x:v>At expiry of initial term; date convention requires review</x:v>
      </x:c>
      <x:c r="M45" s="9" t="str">
        <x:v>At-expiry election depends on anniversary endpoint and mutual consideration. Defined Effective Date 2000-05-18 precedes signing. Twenty-year anniversary is 2020-05-18; notice is at expiry, with consideration still to be agreed.</x:v>
      </x:c>
    </x:row>
  </x:sheetData>
  <x:mergeCells>
    <x:mergeCell ref="A1:M1"/>
    <x:mergeCell ref="A2:M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440000057220459" hidden="0" customWidth="1"/>
    <x:col min="2" max="2" width="34.439998626708984" hidden="0" customWidth="1"/>
    <x:col min="3" max="3" width="25" hidden="0" customWidth="1"/>
    <x:col min="4" max="4" width="10" hidden="0" customWidth="1"/>
    <x:col min="5" max="5" width="14.4399995803833" hidden="0" customWidth="1"/>
    <x:col min="6" max="6" width="19.440000534057617" hidden="0" customWidth="1"/>
    <x:col min="7" max="7" width="10.5600004196167" hidden="0" customWidth="1"/>
    <x:col min="8" max="8" width="10.5600004196167" hidden="0" customWidth="1"/>
    <x:col min="9" max="9" width="10.5600004196167" hidden="0" customWidth="1"/>
    <x:col min="10" max="10" width="10.5600004196167" hidden="0" customWidth="1"/>
    <x:col min="11" max="11" width="19.440000534057617" hidden="0" customWidth="1"/>
    <x:col min="12" max="12" width="57.779998779296875" hidden="0" customWidth="1"/>
    <x:col min="13" max="13" width="51.11000061035156" hidden="0" customWidth="1"/>
  </x:cols>
  <x:sheetData>
    <x:row r="1" ht="30" customHeight="1">
      <x:c r="A1" s="1" t="str">
        <x:v>Structured inputs with source and review status</x:v>
      </x:c>
      <x:c r="B1" s="1"/>
      <x:c r="C1" s="1"/>
      <x:c r="D1" s="1"/>
      <x:c r="E1" s="1"/>
      <x:c r="F1" s="1"/>
      <x:c r="G1" s="1"/>
      <x:c r="H1" s="1"/>
      <x:c r="I1" s="1"/>
      <x:c r="J1" s="1"/>
      <x:c r="K1" s="1"/>
      <x:c r="L1" s="1"/>
      <x:c r="M1" s="1"/>
    </x:row>
    <x:row r="2" ht="25" customHeight="1">
      <x:c r="A2" s="2" t="str">
        <x:v>Rows 6–45: model prose normalized by code. Rows 46–85: PDF/reference inputs. Inputs ready means arithmetic can run, not that the date is verified.</x:v>
      </x:c>
      <x:c r="B2" s="2"/>
      <x:c r="C2" s="2"/>
      <x:c r="D2" s="2"/>
      <x:c r="E2" s="2"/>
      <x:c r="F2" s="2"/>
      <x:c r="G2" s="2"/>
      <x:c r="H2" s="2"/>
      <x:c r="I2" s="2"/>
      <x:c r="J2" s="2"/>
      <x:c r="K2" s="2"/>
      <x:c r="L2" s="2"/>
      <x:c r="M2" s="2"/>
    </x:row>
    <x:row r="5" ht="45" customHeight="1">
      <x:c r="A5" s="6" t="str">
        <x:v>ID</x:v>
      </x:c>
      <x:c r="B5" s="6" t="str">
        <x:v>Contract PDF</x:v>
      </x:c>
      <x:c r="C5" s="6" t="str">
        <x:v>Input origin</x:v>
      </x:c>
      <x:c r="D5" s="6" t="str">
        <x:v>Inputs ready</x:v>
      </x:c>
      <x:c r="E5" s="6" t="str">
        <x:v>Term end</x:v>
      </x:c>
      <x:c r="F5" s="6" t="str">
        <x:v>Rule type</x:v>
      </x:c>
      <x:c r="G5" s="6" t="str">
        <x:v>Lead amount</x:v>
      </x:c>
      <x:c r="H5" s="6" t="str">
        <x:v>Window opens months before</x:v>
      </x:c>
      <x:c r="I5" s="6" t="str">
        <x:v>Window closes months before</x:v>
      </x:c>
      <x:c r="J5" s="6" t="str">
        <x:v>Human review</x:v>
      </x:c>
      <x:c r="K5" s="6" t="str">
        <x:v>Date certainty</x:v>
      </x:c>
      <x:c r="L5" s="6" t="str">
        <x:v>Source evidence</x:v>
      </x:c>
      <x:c r="M5" s="6" t="str">
        <x:v>Normalization note</x:v>
      </x:c>
    </x:row>
    <x:row r="6" ht="260" customHeight="1">
      <x:c r="A6" s="9" t="n">
        <x:v>1</x:v>
      </x:c>
      <x:c r="B6" s="9" t="str">
        <x:v>AlliedEsportsEntertainmentInc_20190815_8-K_EX-10.19_11788293_EX-10.19_Content License Agreement.pdf</x:v>
      </x:c>
      <x:c r="C6" s="9" t="str">
        <x:v>model_output_normalized_by_code</x:v>
      </x:c>
      <x:c r="D6" s="9" t="str">
        <x:v>Yes</x:v>
      </x:c>
      <x:c r="E6" s="9" t="str">
        <x:v>Unknown</x:v>
      </x:c>
      <x:c r="F6" s="9" t="str">
        <x:v>none</x:v>
      </x:c>
      <x:c r="G6" s="9"/>
      <x:c r="H6" s="9"/>
      <x:c r="I6" s="9"/>
      <x:c r="J6" s="9" t="str">
        <x:v>No</x:v>
      </x:c>
      <x:c r="K6" s="9" t="str">
        <x:v>Not applicable</x:v>
      </x:c>
      <x:c r="L6" s="9" t="str">
        <x:v>[PDF page 1] Agreement 'dated February 1, 2018 (the "Effective Date")'; [PDF page 2] Section 3: 'This Agreement will be in effect for three (3) years from the Effective Date ("Initial Term")... This Agreement shall automatically extend for an additional two (2) years on the same terms herein ("Renewal Term") provided WPT receives payments greater than twelve million U.S. dollars ($12,000,000) within the Initial Term'; [PDF page 3] Signature page shows blank signatures with no dates filled in, but the term clause is based on the defined Effective Date of February 1, 2018, not on the act of signing; [PDF page 7] Section 6 provides 30-day cure period after notice of default (termination for cause, not renewal); [PDF page 8] Section 10(f) provides 30 days' notice for force majeure termination (not renewal).</x:v>
      </x:c>
      <x:c r="M6" s="9" t="str">
        <x:v>Uses v6 classification. No fixed cutoff. Other notice types are not repaired.</x:v>
      </x:c>
    </x:row>
    <x:row r="7" ht="260" customHeight="1">
      <x:c r="A7" s="9" t="n">
        <x:v>2</x:v>
      </x:c>
      <x:c r="B7" s="9" t="str">
        <x:v>ArcaUsTreasuryFund_20200207_N-2_EX-99.K5_11971930_EX-99.K5_Development Agreement.pdf</x:v>
      </x:c>
      <x:c r="C7" s="9" t="str">
        <x:v>model_output_normalized_by_code</x:v>
      </x:c>
      <x:c r="D7" s="9" t="str">
        <x:v>Yes</x:v>
      </x:c>
      <x:c r="E7" s="9" t="str">
        <x:v>Unknown</x:v>
      </x:c>
      <x:c r="F7" s="9" t="str">
        <x:v>rolling</x:v>
      </x:c>
      <x:c r="G7" s="9"/>
      <x:c r="H7" s="9"/>
      <x:c r="I7" s="9"/>
      <x:c r="J7" s="9" t="str">
        <x:v>Yes</x:v>
      </x:c>
      <x:c r="K7" s="9" t="str">
        <x:v>Not applicable</x:v>
      </x:c>
      <x:c r="L7" s="9" t="str">
        <x:v>[PDF page 1] 'This Agreement is made as of [___], 2020 by and between ARCA U.S. TREASURY FUND...and ARCA CAPITAL MANAGEMENT, LLC.' — effective date blank unfilled. [PDF page 3-4] Section 7(a): 'This Agreement shall become effective as of the first date above written. This Agreement may be terminated at any time, without the payment of any penalty, upon 60 days' written notice, by the vote of a majority of the outstanding voting securities of the Fund or by the vote of the Fund's Trustees or by the Blockchain Administrator.' [PDF page 4] Section 7(b): 'This Agreement shall continue in effect for two years from the date hereof, and thereafter shall continue automatically for successive annual periods, provided that such continuance is specifically approved at least annually by (A) the vote of the Board, or by the vote of a majority of the outstanding voting securities of the Fund and (B) the vote of a majority of the Fund's directors who are not parties to this Agreement or interested persons...' [PDF page 5] Signature block: 'IN WITNESS WHEREOF, the parties hereto have executed and delivered this Agreement as of the date first above written.' — signatures present for Philip Liu (President, Arca U.S. Treasury Fund) and J. Rayne Steinberg (CEO, Arca Capital Management, LLC), but no dates filled in on signature lines.</x:v>
      </x:c>
      <x:c r="M7" s="9" t="str">
        <x:v>Uses v6 classification. No fixed cutoff. Other notice types are not repaired.</x:v>
      </x:c>
    </x:row>
    <x:row r="8" ht="260" customHeight="1">
      <x:c r="A8" s="9" t="n">
        <x:v>3</x:v>
      </x:c>
      <x:c r="B8" s="9" t="str">
        <x:v>AzulSa_20170303_F-1A_EX-10.3_9943903_EX-10.3_Maintenance Agreement1.pdf</x:v>
      </x:c>
      <x:c r="C8" s="9" t="str">
        <x:v>model_output_normalized_by_code</x:v>
      </x:c>
      <x:c r="D8" s="9" t="str">
        <x:v>No</x:v>
      </x:c>
      <x:c r="E8" s="9" t="str">
        <x:v>Unknown</x:v>
      </x:c>
      <x:c r="F8" s="9" t="str">
        <x:v>Unknown</x:v>
      </x:c>
      <x:c r="G8" s="9"/>
      <x:c r="H8" s="9"/>
      <x:c r="I8" s="9"/>
      <x:c r="J8" s="9" t="str">
        <x:v>Yes</x:v>
      </x:c>
      <x:c r="K8" s="9" t="str">
        <x:v>Unknown</x:v>
      </x:c>
      <x:c r="L8" s="9" t="str">
        <x:v>[PDF page 4] 'THIS GLOBAL MAINTENANCE AGREEMENT...IS MADE ON March 9th 2015' — agreement/signing date. [PDF page 13] 'Signing Date' defined as 'the date indicated on page four (4) of this Agreement and refers to the date on which this Agreement is signed by both Parties'; 'Start Date' defined as 'the date occurring thirty (30) Days after the Signing Date, subject to fulfilment of the conditions set out in Clause 17.' [PDF page 9] 'End Date' defined referencing Clause 3.1 (end of Initial Term) and Clause 3.2 (end of annual renewal). [PDF page 13] 'Term' defined as 'the period of time starting from the Signing Date and ending on the End Date.' [PDF page 15] Clause 3.1: 'The Agreement enters into force on the Signing Date; it will have a duration of [*****] as from the Start Date (the "Initial Term").' Clause 3.2: 'Upon expiry of the Initial Term, this Agreement [*****] unless a Notice of non-renewal is given by either Party to the other Party [*****] prior to the expiry of the Initial Term or the end of a renewal period, if any.' [PDF page 40] Execution page: signed by /s/ Amir Nasruddin (AZUL) and /s/ Massimo Castorina (ATR) 'on the Signing Date.'</x:v>
      </x:c>
      <x:c r="M8" s="9" t="str">
        <x:v>V6 says deadline not calculable. No human correction added to this lane.</x:v>
      </x:c>
    </x:row>
    <x:row r="9" ht="260" customHeight="1">
      <x:c r="A9" s="9" t="n">
        <x:v>4</x:v>
      </x:c>
      <x:c r="B9" s="9" t="str">
        <x:v>BizzingoInc_20120322_8-K_EX-10.17_7504499_EX-10.17_Endorsement Agreement.pdf</x:v>
      </x:c>
      <x:c r="C9" s="9" t="str">
        <x:v>model_output_normalized_by_code</x:v>
      </x:c>
      <x:c r="D9" s="9" t="str">
        <x:v>Yes</x:v>
      </x:c>
      <x:c r="E9" s="9" t="str">
        <x:v>Unknown</x:v>
      </x:c>
      <x:c r="F9" s="9" t="str">
        <x:v>rolling</x:v>
      </x:c>
      <x:c r="G9" s="9"/>
      <x:c r="H9" s="9"/>
      <x:c r="I9" s="9"/>
      <x:c r="J9" s="9" t="str">
        <x:v>No</x:v>
      </x:c>
      <x:c r="K9" s="9" t="str">
        <x:v>Not applicable</x:v>
      </x:c>
      <x:c r="L9" s="9" t="str">
        <x:v>[PDF page 1] 'THIS AGREEMENT is made as of this March 14, 2012 but effective as of March 1, 2012 ("Effective Date")' — agreement date is March 14, 2012; operative Effective Date is expressly defined as March 1, 2012. [PDF page 2] Section 2: 'this Agreement shall commence on the Effective Date and continue for a period of one (1) year ("Term"). provided however, that the Parties may extend the Term for an additional year period by entering into a written addendum of the Agreement extending such term.' [PDF page 6] Section 10(d): 'Theismann shall have the right to terminate this Agreement at any time upon thirty (30) days' written notice to Bizzingo.' Sections 10(a)–(c): 30 days prior written notice for cause/event-triggered termination by either party. [PDF page 8] Signature page shows signatures of Joseph Theismann and Douglas Toth (President, Bizzingo, Inc.) without individual signature dates.</x:v>
      </x:c>
      <x:c r="M9" s="9" t="str">
        <x:v>Uses v6 classification. No fixed cutoff. Other notice types are not repaired.</x:v>
      </x:c>
    </x:row>
    <x:row r="10" ht="260" customHeight="1">
      <x:c r="A10" s="9" t="n">
        <x:v>5</x:v>
      </x:c>
      <x:c r="B10" s="9" t="str">
        <x:v>CoherusBiosciencesInc_20200227_10-K_EX-10.29_12021376_EX-10.29_Development Agreement.pdf</x:v>
      </x:c>
      <x:c r="C10" s="9" t="str">
        <x:v>model_output_normalized_by_code</x:v>
      </x:c>
      <x:c r="D10" s="9" t="str">
        <x:v>Yes</x:v>
      </x:c>
      <x:c r="E10" s="9" t="str">
        <x:v>Unknown</x:v>
      </x:c>
      <x:c r="F10" s="9" t="str">
        <x:v>rolling</x:v>
      </x:c>
      <x:c r="G10" s="9"/>
      <x:c r="H10" s="9"/>
      <x:c r="I10" s="9"/>
      <x:c r="J10" s="9" t="str">
        <x:v>Yes</x:v>
      </x:c>
      <x:c r="K10" s="9" t="str">
        <x:v>Not applicable</x:v>
      </x:c>
      <x:c r="L10" s="9" t="str">
        <x:v>[PDF page 3] 'This LICENSE AND DEVELOPMENT AGREEMENT...is entered into effective as of Nov. 02, 2019 (the Effective Date)'; [PDF page 32] Section 15.1: 'the Parties' respective rights and obligations under this Agreement shall commence on the Effective Date and shall remain in full force for ten (10) years after the First Commercial Sale of the first Licensed Product, and shall thereafter automatically renew for an unlimited period of time unless otherwise terminated in accordance with Section 15.2'; [PDF page 33] Section 15.2.5: 'Licensee may terminate this Agreement for convenience upon eighteen (18) months' advance written notice to Bioeq; provided, however, that any such termination for convenience shall not become effective prior to twelve (12) months after the First Commercial Sale of the first Licensed Product'; [PDF page 40] Bioeq signatures dated November 02, 2019; Coherus signature dated November 4, 2019.</x:v>
      </x:c>
      <x:c r="M10" s="9" t="str">
        <x:v>Uses v6 classification. No fixed cutoff. Other notice types are not repaired.</x:v>
      </x:c>
    </x:row>
    <x:row r="11" ht="260" customHeight="1">
      <x:c r="A11" s="9" t="n">
        <x:v>6</x:v>
      </x:c>
      <x:c r="B11" s="9" t="str">
        <x:v>DataCallTechnologies_20060918_SB-2A_EX-10.9_944510_EX-10.9_Content License Agreement.pdf</x:v>
      </x:c>
      <x:c r="C11" s="9" t="str">
        <x:v>model_output_normalized_by_code</x:v>
      </x:c>
      <x:c r="D11" s="9" t="str">
        <x:v>Yes</x:v>
      </x:c>
      <x:c r="E11" s="9" t="str">
        <x:v>2008-04-01</x:v>
      </x:c>
      <x:c r="F11" s="9" t="str">
        <x:v>days_before_end</x:v>
      </x:c>
      <x:c r="G11" s="9" t="n">
        <x:v>60</x:v>
      </x:c>
      <x:c r="H11" s="9"/>
      <x:c r="I11" s="9"/>
      <x:c r="J11" s="9" t="str">
        <x:v>No</x:v>
      </x:c>
      <x:c r="K11" s="9" t="str">
        <x:v>Model asserted; not PDF verified</x:v>
      </x:c>
      <x:c r="L11" s="9" t="str">
        <x:v>[PDF page 3] Section 7.1: 'the term of this letter Agreement shall continue for twenty-four (24) months with the effective date unless terminated sooner or extended pursuant to the terms hereof ("Initial Term"). The Initial Term shall automatically be extended for an additional period of half a year unless either party provides the other party with written notification of termination of the letter Agreement at least 60 days prior to end of such period.' [PDF page 5] Appendix 2 section 2.1: 'Contract start: 04-01-06'; section 2.2: 'Contract end: 04-01-08'. [PDF page 4] Signatures: Licensor signed 3/23/06; plan_b signed 03/24/06 — both prior to the April 1, 2006 contract start date stated in Appendix 2; the term clause is based on the Appendix 2 start date, not the act of signing.</x:v>
      </x:c>
      <x:c r="M11" s="9" t="str">
        <x:v>Deterministic normalization of frozen v6 prose. Not human-verified and not a native structured v6 output.</x:v>
      </x:c>
    </x:row>
    <x:row r="12" ht="260" customHeight="1">
      <x:c r="A12" s="9" t="n">
        <x:v>7</x:v>
      </x:c>
      <x:c r="B12" s="9" t="str">
        <x:v>EdietsComInc_20001030_10QSB_EX-10.4_2606646_EX-10.4_Co-Branding Agreement.pdf</x:v>
      </x:c>
      <x:c r="C12" s="9" t="str">
        <x:v>model_output_normalized_by_code</x:v>
      </x:c>
      <x:c r="D12" s="9" t="str">
        <x:v>Yes</x:v>
      </x:c>
      <x:c r="E12" s="9" t="str">
        <x:v>2002-05-22</x:v>
      </x:c>
      <x:c r="F12" s="9" t="str">
        <x:v>days_before_end</x:v>
      </x:c>
      <x:c r="G12" s="9" t="n">
        <x:v>60</x:v>
      </x:c>
      <x:c r="H12" s="9"/>
      <x:c r="I12" s="9"/>
      <x:c r="J12" s="9" t="str">
        <x:v>Yes</x:v>
      </x:c>
      <x:c r="K12" s="9" t="str">
        <x:v>Model asserted; not PDF verified</x:v>
      </x:c>
      <x:c r="L12" s="9" t="str">
        <x:v>[PDF page 1] 'THIS CO-BRANDING AGREEMENT...is made as of May 22, 2000 (the "Effective Date")'; [PDF page 5] Section 10.1: 'This Agreement will become effective as of the Effective Date and...shall remain effective for two (2) years from and after the Effective Date (the "Initial Term"). This agreement shall automatically renew for additional successive terms of twelve (12) months each at the end of the Initial Term ("Renewal Terms"), unless either party notifies the other in writing at least sixty (60) days prior to the end of the Initial Term.'; [PDF page 9] Signatures of both parties present (Bud Ward for Women.com, David R. Humble for eDiets) with no separate execution date stated, consistent with the May 22, 2000 Effective Date.</x:v>
      </x:c>
      <x:c r="M12" s="9" t="str">
        <x:v>Deterministic normalization of frozen v6 prose. Not human-verified and not a native structured v6 output.</x:v>
      </x:c>
    </x:row>
    <x:row r="13" ht="260" customHeight="1">
      <x:c r="A13" s="9" t="n">
        <x:v>8</x:v>
      </x:c>
      <x:c r="B13" s="9" t="str">
        <x:v>FuseMedicalInc_20190321_10-K_EX-10.43_11575454_EX-10.43_Distributor Agreement.pdf</x:v>
      </x:c>
      <x:c r="C13" s="9" t="str">
        <x:v>model_output_normalized_by_code</x:v>
      </x:c>
      <x:c r="D13" s="9" t="str">
        <x:v>Yes</x:v>
      </x:c>
      <x:c r="E13" s="9" t="str">
        <x:v>Unknown</x:v>
      </x:c>
      <x:c r="F13" s="9" t="str">
        <x:v>rolling</x:v>
      </x:c>
      <x:c r="G13" s="9"/>
      <x:c r="H13" s="9"/>
      <x:c r="I13" s="9"/>
      <x:c r="J13" s="9" t="str">
        <x:v>No</x:v>
      </x:c>
      <x:c r="K13" s="9" t="str">
        <x:v>Not applicable</x:v>
      </x:c>
      <x:c r="L13" s="9" t="str">
        <x:v>[PDF page 1] Cover page: 'Dated 29/3/18.' [PDF page 2] 'Commencement Date: means the date of this agreement.' [PDF page 3] 'Year: the period of 12 months from the Commencement Date and each consecutive period of 12 months thereafter during the Term.' [PDF page 10] Clause 11.1: 'This agreement begins on the Commencement Date and, subject to clause 11.2, shall continue for an initial term of one (1) years (Initial Term) and indefinitely after that until terminated by either party giving at least twelve (12) months' prior written notice to expire on or after the expiry date of the initial term.' [PDF page 15] 'This agreement has been entered into on the date stated at the beginning of it.' Signature block on [PDF page 20] contains no dates filled in, but the term clause is based on the Commencement Date (the date of the agreement, stated as 29/3/18 on the cover), not on the act of signing.</x:v>
      </x:c>
      <x:c r="M13" s="9" t="str">
        <x:v>Uses v6 classification. No fixed cutoff. Other notice types are not repaired.</x:v>
      </x:c>
    </x:row>
    <x:row r="14" ht="260" customHeight="1">
      <x:c r="A14" s="9" t="n">
        <x:v>9</x:v>
      </x:c>
      <x:c r="B14" s="9" t="str">
        <x:v>GentechHoldingsInc_20190808_1-A_EX1A-6 MAT CTRCT_11776814_EX1A-6 MAT CTRCT_Distributor Agreement.pdf</x:v>
      </x:c>
      <x:c r="C14" s="9" t="str">
        <x:v>model_output_normalized_by_code</x:v>
      </x:c>
      <x:c r="D14" s="9" t="str">
        <x:v>No</x:v>
      </x:c>
      <x:c r="E14" s="9" t="str">
        <x:v>Unknown</x:v>
      </x:c>
      <x:c r="F14" s="9" t="str">
        <x:v>Unknown</x:v>
      </x:c>
      <x:c r="G14" s="9"/>
      <x:c r="H14" s="9"/>
      <x:c r="I14" s="9"/>
      <x:c r="J14" s="9" t="str">
        <x:v>Yes</x:v>
      </x:c>
      <x:c r="K14" s="9" t="str">
        <x:v>Unknown</x:v>
      </x:c>
      <x:c r="L14" s="9" t="str">
        <x:v>[PDF page 1] Preamble: 'made and effective as of 1 August 2019.' [PDF page 8] Section 7(a): 'This Agreement shall become effective on the date first written above and shall continue in effect for a period of Three (3) years.' Section 7(b): 'Distributor shall have the option to renew this Agreement for an additional Three (3) year period by providing prior written notice to Company within Ninety (90) days of the end of the initial period of this Agreement.' Section 7(c)(ii): 90-day cure/termination-for-breach notice. [PDF page 3] Section 2(b): 90-day price-increase notice. [PDF page 13] Signature block: Company signed 'Date: 04th, August, 2019'; Distributor signature date is blank.</x:v>
      </x:c>
      <x:c r="M14" s="9" t="str">
        <x:v>Ambiguous notice purpose or within-window wording. Parser abstains.</x:v>
      </x:c>
    </x:row>
    <x:row r="15" ht="260" customHeight="1">
      <x:c r="A15" s="9" t="n">
        <x:v>10</x:v>
      </x:c>
      <x:c r="B15" s="9" t="str">
        <x:v>GlobalTechnologiesGroupInc_20050928_10KSB_EX-10.9_4148808_EX-10.9_Content License Agreement.pdf</x:v>
      </x:c>
      <x:c r="C15" s="9" t="str">
        <x:v>model_output_normalized_by_code</x:v>
      </x:c>
      <x:c r="D15" s="9" t="str">
        <x:v>Yes</x:v>
      </x:c>
      <x:c r="E15" s="9" t="str">
        <x:v>Unknown</x:v>
      </x:c>
      <x:c r="F15" s="9" t="str">
        <x:v>none</x:v>
      </x:c>
      <x:c r="G15" s="9"/>
      <x:c r="H15" s="9"/>
      <x:c r="I15" s="9"/>
      <x:c r="J15" s="9" t="str">
        <x:v>Yes</x:v>
      </x:c>
      <x:c r="K15" s="9" t="str">
        <x:v>Not applicable</x:v>
      </x:c>
      <x:c r="L15" s="9" t="str">
        <x:v>[PDF page 2] 'This Agreement is effective as of the last date signed below ("Effective Date"). The initial term of this Agreement will begin on the Effective Date and end twelve (12) months after the Launch (the "Term"). IMNTV will extend the Agreement on the same terms and conditions for additional one-year terms, providing Distributor and IMNTV agree, predicated on satisfactory performance by both parties.' Signatures of both parties dated 13/07/05. [PDF page 3] '"Launch" means the date that the Programming is made generally available for purchase by consumers under the terms and conditions of the Agreement.' [PDF page 12] Exhibit D: 'Starting on October 1, 2005, China Unicom Tianjin intends to charge for the streaming service. The revenue sharing and payment terms between IMNTV and MobileVision takes effect starting on the same date of commercial service.' [PDF page 7] Section 7.1: 'Either party may terminate the Agreement at any time in the event of a material breach by the other party that remains uncured after thirty (30) days written notice of the breach.'</x:v>
      </x:c>
      <x:c r="M15" s="9" t="str">
        <x:v>Uses v6 classification. No fixed cutoff. Other notice types are not repaired.</x:v>
      </x:c>
    </x:row>
    <x:row r="16" ht="260" customHeight="1">
      <x:c r="A16" s="9" t="n">
        <x:v>11</x:v>
      </x:c>
      <x:c r="B16" s="9" t="str">
        <x:v>GpaqAcquisitionHoldingsInc_20200123_S-4A_EX-10.6_11951677_EX-10.6_License Agreement.pdf</x:v>
      </x:c>
      <x:c r="C16" s="9" t="str">
        <x:v>model_output_normalized_by_code</x:v>
      </x:c>
      <x:c r="D16" s="9" t="str">
        <x:v>No</x:v>
      </x:c>
      <x:c r="E16" s="9" t="str">
        <x:v>Unknown</x:v>
      </x:c>
      <x:c r="F16" s="9" t="str">
        <x:v>Unknown</x:v>
      </x:c>
      <x:c r="G16" s="9"/>
      <x:c r="H16" s="9"/>
      <x:c r="I16" s="9"/>
      <x:c r="J16" s="9" t="str">
        <x:v>Yes</x:v>
      </x:c>
      <x:c r="K16" s="9" t="str">
        <x:v>Unknown</x:v>
      </x:c>
      <x:c r="L16" s="9" t="str">
        <x:v>[PDF page 1] 'THIS MEDIA LICENSE AGREEMENT...is made and effective as of the date of the Closing (as defined in the Merger Agreement...) (the "Effective Date")'; [PDF page 2] Section 1.4: 'Merger Agreement means that certain Agreement and Plan of Merger, dated September 16, 2019...'; [PDF page 8] Section 4.1: 'the term of this Agreement shall commence on the Effective Date and shall terminate on December 31, 2034...Thereafter, the agreement shall automatically renew for successive five (5)-year terms, unless either Party gives written notice to the other Party of intent not to renew at least six (6) months prior to the expiration of the then-current Term.'; [PDF page 13] Section 7.11: 'in the event that the Closing...does not occur, this Agreement shall be terminated and the provisions herein shall have no force or effect.'; [PDF pages 14-15] Signature page: all date lines blank for PFHOF, HOF Village Media Group LLC, and HOF Village LLC.</x:v>
      </x:c>
      <x:c r="M16" s="9" t="str">
        <x:v>V6 says deadline not calculable. No human correction added to this lane.</x:v>
      </x:c>
    </x:row>
    <x:row r="17" ht="260" customHeight="1">
      <x:c r="A17" s="9" t="n">
        <x:v>12</x:v>
      </x:c>
      <x:c r="B17" s="9" t="str">
        <x:v>HfEnterprisesInc_20191223_S-1_EX-10.22_11931299_EX-10.22_Development Agreement.pdf</x:v>
      </x:c>
      <x:c r="C17" s="9" t="str">
        <x:v>model_output_normalized_by_code</x:v>
      </x:c>
      <x:c r="D17" s="9" t="str">
        <x:v>Yes</x:v>
      </x:c>
      <x:c r="E17" s="9" t="str">
        <x:v>Unknown</x:v>
      </x:c>
      <x:c r="F17" s="9" t="str">
        <x:v>rolling</x:v>
      </x:c>
      <x:c r="G17" s="9"/>
      <x:c r="H17" s="9"/>
      <x:c r="I17" s="9"/>
      <x:c r="J17" s="9" t="str">
        <x:v>No</x:v>
      </x:c>
      <x:c r="K17" s="9" t="str">
        <x:v>Not applicable</x:v>
      </x:c>
      <x:c r="L17" s="9" t="str">
        <x:v>[PDF page 1] 'This Outsource Technology Development Agreement...is entered into and effective as of this 1st day of March, 2018 (the "Effective Date")'; [PDF page 1] Section 2.1: 'The initial term of this Agreement shall commence on the Effective Date, and shall continue thereafter for a period of twelve (12) months (the "Initial Term"). The Initial Term shall automatically renew for one-month periods thereafter unless either party provides 30-days advance notice of termination, unless earlier terminated pursuant to Section 2.2 hereof.'; [PDF page 1] Section 2.2.1: 'Either party may terminate this Agreement prior to expiration of the Term: (i) upon thirty (30) days prior written notice...'; [PDF page 5] Signatures of Jeffrey Ronaldi (DSS) and Nathan Lee (HotApp International Ltd.) with no separate date indicated, executed 'as of the date first set forth above' (March 1, 2018).</x:v>
      </x:c>
      <x:c r="M17" s="9" t="str">
        <x:v>Uses v6 classification. No fixed cutoff. Other notice types are not repaired.</x:v>
      </x:c>
    </x:row>
    <x:row r="18" ht="260" customHeight="1">
      <x:c r="A18" s="9" t="n">
        <x:v>13</x:v>
      </x:c>
      <x:c r="B18" s="9" t="str">
        <x:v>InmodeLtd_20190729_F-1A_EX-10.9_11743243_EX-10.9_Manufacturing Agreement.pdf</x:v>
      </x:c>
      <x:c r="C18" s="9" t="str">
        <x:v>model_output_normalized_by_code</x:v>
      </x:c>
      <x:c r="D18" s="9" t="str">
        <x:v>No</x:v>
      </x:c>
      <x:c r="E18" s="9" t="str">
        <x:v>Unknown</x:v>
      </x:c>
      <x:c r="F18" s="9" t="str">
        <x:v>days_before_end</x:v>
      </x:c>
      <x:c r="G18" s="9" t="n">
        <x:v>90</x:v>
      </x:c>
      <x:c r="H18" s="9"/>
      <x:c r="I18" s="9"/>
      <x:c r="J18" s="9" t="str">
        <x:v>Yes</x:v>
      </x:c>
      <x:c r="K18" s="9" t="str">
        <x:v>Unknown</x:v>
      </x:c>
      <x:c r="L18" s="9" t="str">
        <x:v>[PDF page 1] 'This Turn-Key Manufacturing Agreement (the "Agreement") is effective as of the 1.4.2011 (the "Effective Date")'; [PDF page 1] Section 2: 'This Agreement shall commence on the Effective Date and shall continue for an initial term of year as of the Effective Date. This Agreement shall automatically be renewed for successive one (1) year increments unless either party request in writing, at least ninety (90) days prior to the anniversary date, that this Agreement not to be renewed.'; [PDF page 9] Section 15.2: 'either party may terminate this Agreement at any time without cause by giving to the other party, not less than four (4) months written notice.'; [PDF page 13] Signature block: Flextronics date and signature lines are blank; Invasix/Customer shows 'Date:' blank, 'Name: MOSHE MIZRAHY', 'Title: CEO', 'Signature: /s/ Moshe Mizrahy'.</x:v>
      </x:c>
      <x:c r="M18" s="9" t="str">
        <x:v>No explicit term endpoint recognized. Parser does not infer an endpoint from a duration alone.</x:v>
      </x:c>
    </x:row>
    <x:row r="19" ht="260" customHeight="1">
      <x:c r="A19" s="9" t="n">
        <x:v>14</x:v>
      </x:c>
      <x:c r="B19" s="9" t="str">
        <x:v>KitovPharmaLtd_20190326_20-F_EX-4.15_11584449_EX-4.15_Manufacturing Agreement.pdf</x:v>
      </x:c>
      <x:c r="C19" s="9" t="str">
        <x:v>model_output_normalized_by_code</x:v>
      </x:c>
      <x:c r="D19" s="9" t="str">
        <x:v>No</x:v>
      </x:c>
      <x:c r="E19" s="9" t="str">
        <x:v>Unknown</x:v>
      </x:c>
      <x:c r="F19" s="9" t="str">
        <x:v>Unknown</x:v>
      </x:c>
      <x:c r="G19" s="9"/>
      <x:c r="H19" s="9"/>
      <x:c r="I19" s="9"/>
      <x:c r="J19" s="9" t="str">
        <x:v>Yes</x:v>
      </x:c>
      <x:c r="K19" s="9" t="str">
        <x:v>Unknown</x:v>
      </x:c>
      <x:c r="L19" s="9" t="str">
        <x:v>[PDF page 2] Section 1.13: 'Effective Date shall mean the date of signature of the last Party to execute this Agreement.' [PDF page 4] Section 1.36: 'Supply Commencement Date shall mean the date upon which Dexcel makes the first Delivery of the Product to Kitov pursuant to a Confirmed Order.' Section 1.41: 'Year shall mean the twelve (12) months following the Supply Commencement Date and each successive twelve (12) month period commencing on the anniversary of the Supply Commencement Date.' [PDF page 9] Section 5.1: 'The Agreement shall commence on the Effective Date and remain in full force and effect for an initial term of **** from the Supply Commencement Date of the Product ("Initial Term"). Following the Initial Term, the Agreement shall automatically be renewed for additional periods of **** (each, a "Renewal Term"...), unless a Party provides written notification of non-renewal to the other Party at least **** of the Initial Term or a Renewal Term.' [PDF page 18] Signature block: Date lines for both Dexcel and Kitov are blank; execution clause reads 'as of the date first set forth above' but no date is set forth in the agreement header (which states only 'as of the Effective Date').</x:v>
      </x:c>
      <x:c r="M19" s="9" t="str">
        <x:v>V6 says deadline not calculable. No human correction added to this lane.</x:v>
      </x:c>
    </x:row>
    <x:row r="20" ht="260" customHeight="1">
      <x:c r="A20" s="9" t="n">
        <x:v>15</x:v>
      </x:c>
      <x:c r="B20" s="9" t="str">
        <x:v>LeadersonlineInc_20000427_S-1A_EX-10.8_4991089_EX-10.8_Co-Branding Agreement.pdf</x:v>
      </x:c>
      <x:c r="C20" s="9" t="str">
        <x:v>model_output_normalized_by_code</x:v>
      </x:c>
      <x:c r="D20" s="9" t="str">
        <x:v>Yes</x:v>
      </x:c>
      <x:c r="E20" s="9" t="str">
        <x:v>2001-06-15</x:v>
      </x:c>
      <x:c r="F20" s="9" t="str">
        <x:v>days_before_end</x:v>
      </x:c>
      <x:c r="G20" s="9" t="n">
        <x:v>90</x:v>
      </x:c>
      <x:c r="H20" s="9"/>
      <x:c r="I20" s="9"/>
      <x:c r="J20" s="9" t="str">
        <x:v>Yes</x:v>
      </x:c>
      <x:c r="K20" s="9" t="str">
        <x:v>Model asserted; not PDF verified</x:v>
      </x:c>
      <x:c r="L20" s="9" t="str">
        <x:v>[PDF page 1] 'This Co-Branding Agreement (this "Agreement") dated March 15, 2000 (the "Effective Date")'; [PDF page 2] Section 1.20: 'Term shall mean the Effective Date through June 15, 2001 and any Renewal Term (as defined in paragraph 7.4 herein.)'; [PDF page 5] Section 7.4: 'LeadersOnline shall have the option, subject to VerticalNet's approval exercised in its sole and absolute discretion, to extend the Term of this Agreement for an additional 12 months (a "Renewal Term") on such terms and conditions as may be mutually agreed upon by the Parties. To exercise this option, LeadersOnline must notify VerticalNet in writing of its election no later than 90 days prior to the expiration of the initial Term. Unless VerticalNet notifies LeadersOnline of its intention to extend the initial Term of this Agreement for an additional year within 30 days of receiving such notice the Agreement shall terminate in accordance with the terms hereof.'; [PDF page 9] Signatures of both parties executed 'as of the date first written above' (March 15, 2000).</x:v>
      </x:c>
      <x:c r="M20" s="9" t="str">
        <x:v>Deterministic normalization of frozen v6 prose. Not human-verified and not a native structured v6 output.</x:v>
      </x:c>
    </x:row>
    <x:row r="21" ht="260" customHeight="1">
      <x:c r="A21" s="9" t="n">
        <x:v>16</x:v>
      </x:c>
      <x:c r="B21" s="9" t="str">
        <x:v>LegacyEducationAllianceInc_20141110_8-K_EX-10.9_8828866_EX-10.9_Endorsement Agreement.pdf</x:v>
      </x:c>
      <x:c r="C21" s="9" t="str">
        <x:v>model_output_normalized_by_code</x:v>
      </x:c>
      <x:c r="D21" s="9" t="str">
        <x:v>Yes</x:v>
      </x:c>
      <x:c r="E21" s="9" t="str">
        <x:v>Unknown</x:v>
      </x:c>
      <x:c r="F21" s="9" t="str">
        <x:v>none</x:v>
      </x:c>
      <x:c r="G21" s="9"/>
      <x:c r="H21" s="9"/>
      <x:c r="I21" s="9"/>
      <x:c r="J21" s="9" t="str">
        <x:v>Yes</x:v>
      </x:c>
      <x:c r="K21" s="9" t="str">
        <x:v>Not applicable</x:v>
      </x:c>
      <x:c r="L21" s="9" t="str">
        <x:v>[PDF page 1] 'THIS SUPPLEMENTAL AGREEMENT is made as of this _____ day of ______________ 2013'; [PDF page 1] clause 1 definition 1: 'Commencement Date means: 1st January 2013'; [PDF page 2] clause 1 definition 7: 'Term means: 1st January 2013 to 31st December 2013 or until terminated under the provisions of this Agreement or the Primary Agreement'; [PDF page 2] clause 3: 'This Agreement shall be effective as of the date of execution by both parties. The period of license granted shall be for the Term and shall extend for a period of twenty four (24) months or until terminated as per clause 8 herein. It is agreed that the Term may be extended upon mutual agreement between the parties.'; [PDF page 5] clause 8(c): 'Either party may terminate this provision at any time during the Term, in the event either party is guilty of a material breach of this Agreement, having been given notice of such breach and the breach not being rectified within a reasonable period of time.'; [PDF page 8] signature block: 'Date' lines left blank for both parties; [PDF page 8] clause 23: 'the terms of the Primary Agreement shall remain effective at all times and such terms shall take precedence in the event of any conflict between the terms.'</x:v>
      </x:c>
      <x:c r="M21" s="9" t="str">
        <x:v>Uses v6 classification. No fixed cutoff. Other notice types are not repaired.</x:v>
      </x:c>
    </x:row>
    <x:row r="22" ht="260" customHeight="1">
      <x:c r="A22" s="9" t="n">
        <x:v>17</x:v>
      </x:c>
      <x:c r="B22" s="9" t="str">
        <x:v>LegacyEducationAllianceInc_20200330_10-K_EX-10.18_12090678_EX-10.18_Development Agreement.pdf</x:v>
      </x:c>
      <x:c r="C22" s="9" t="str">
        <x:v>model_output_normalized_by_code</x:v>
      </x:c>
      <x:c r="D22" s="9" t="str">
        <x:v>No</x:v>
      </x:c>
      <x:c r="E22" s="9" t="str">
        <x:v>Unknown</x:v>
      </x:c>
      <x:c r="F22" s="9" t="str">
        <x:v>days_before_end</x:v>
      </x:c>
      <x:c r="G22" s="9" t="n">
        <x:v>90</x:v>
      </x:c>
      <x:c r="H22" s="9"/>
      <x:c r="I22" s="9"/>
      <x:c r="J22" s="9" t="str">
        <x:v>No</x:v>
      </x:c>
      <x:c r="K22" s="9" t="str">
        <x:v>Unknown</x:v>
      </x:c>
      <x:c r="L22" s="9" t="str">
        <x:v>[PDF page 1] Agreement 'entered into as of 12-23-2019' (the 'Effective Date'). [PDF page 1/3] Section 1.12: 'The term "Term" shall mean an initial term of five years, automatically renewable thereafter for successive 5-year terms unless either party provides prior written notice of termination not less than 90 days prior to the end of such five-year term.' [PDF page 9] Section 11.1: 'The Term shall commence upon the Effective Date and shall continue for an initial term of five (5) years. The Term shall automatically renew thereafter for successive 5-year terms unless either party provides prior written notice of termination not less than 90 days prior to the end of such five-year term.' [PDF page 13] Signatures of both parties with no separate date noted other than the agreement date; [PDF page 14] Inducement signed by Tarek El Moussa dated 12-23-2019.</x:v>
      </x:c>
      <x:c r="M22" s="9" t="str">
        <x:v>No explicit term endpoint recognized. Parser does not infer an endpoint from a duration alone.</x:v>
      </x:c>
    </x:row>
    <x:row r="23" ht="260" customHeight="1">
      <x:c r="A23" s="9" t="n">
        <x:v>18</x:v>
      </x:c>
      <x:c r="B23" s="9" t="str">
        <x:v>MidwestEnergyEmissionsCorp_20080604_8-K_EX-10.2_3093976_EX-10.2_Content License Agreement.pdf</x:v>
      </x:c>
      <x:c r="C23" s="9" t="str">
        <x:v>model_output_normalized_by_code</x:v>
      </x:c>
      <x:c r="D23" s="9" t="str">
        <x:v>No</x:v>
      </x:c>
      <x:c r="E23" s="9" t="str">
        <x:v>Unknown</x:v>
      </x:c>
      <x:c r="F23" s="9" t="str">
        <x:v>Unknown</x:v>
      </x:c>
      <x:c r="G23" s="9"/>
      <x:c r="H23" s="9"/>
      <x:c r="I23" s="9"/>
      <x:c r="J23" s="9" t="str">
        <x:v>Yes</x:v>
      </x:c>
      <x:c r="K23" s="9" t="str">
        <x:v>Unknown</x:v>
      </x:c>
      <x:c r="L23" s="9" t="str">
        <x:v>[PDF page 1] 'THIS AGREEMENT is made as of this 2nd day of June, 2008'; [PDF page 4] Section 8A: 'shall be in full force and effect commencing on the date of execution by both Parties and shall extend for an initial term of two (2) years. This Agreement shall be automatically renewed for additional extended terms each of two (2) years duration unless either party notifies the other in writing of its intention not to renew the Agreement, such notification to be provided at least ninety (90) days prior to the expiration of the then in-effect term.'; [PDF page 4] Section 8B: 'the Term during which COMPANY may use and exploit same shall commence on the date hereof and continue for that period of time which is the longer of: (i) two (2) years following the date on which CONTENT PROVIDER might make full delivery of such Content to COMPANY; and (ii) the duration of the term of the license concerning that Content between CONTENT PROVIDER and its Licensor thereof.'; [PDF page 4] Section 9B: 'COMPANY may, in its unfettered discretion, terminate this Agreement at any time after first giving CONTENT PROVIDER ten (10) days advance notice thereof.'; [PDF pages 9-10] Signatures of Dennis Pelino (NCM, YGP), Beh Chong Wah (TWK), and Jay Rifkin (Digicorp) with no individual dates on signature lines; [PDF page 10] Exhibit A dated 'June 2, 2008'.</x:v>
      </x:c>
      <x:c r="M23" s="9" t="str">
        <x:v>V6 says deadline not calculable. No human correction added to this lane.</x:v>
      </x:c>
    </x:row>
    <x:row r="24" ht="260" customHeight="1">
      <x:c r="A24" s="9" t="n">
        <x:v>19</x:v>
      </x:c>
      <x:c r="B24" s="9" t="str">
        <x:v>MphaseTechnologiesInc_20030911_10-K_EX-10.15_1560667_EX-10.15_Co-Branding Agreement.pdf</x:v>
      </x:c>
      <x:c r="C24" s="9" t="str">
        <x:v>model_output_normalized_by_code</x:v>
      </x:c>
      <x:c r="D24" s="9" t="str">
        <x:v>Yes</x:v>
      </x:c>
      <x:c r="E24" s="9" t="str">
        <x:v>Unknown</x:v>
      </x:c>
      <x:c r="F24" s="9" t="str">
        <x:v>rolling</x:v>
      </x:c>
      <x:c r="G24" s="9"/>
      <x:c r="H24" s="9"/>
      <x:c r="I24" s="9"/>
      <x:c r="J24" s="9" t="str">
        <x:v>Yes</x:v>
      </x:c>
      <x:c r="K24" s="9" t="str">
        <x:v>Not applicable</x:v>
      </x:c>
      <x:c r="L24" s="9" t="str">
        <x:v>[PDF page 1] Opening paragraph: 'This Agreement is made this 21st day of January 2003 by and between Lucent Technologies Inc. ... and mPhase Technologies Inc.' [PDF page 2] Clause 11: 'The Term of this Agreement will commence on the date above, and shall continue for a term of one (1) year. mPhase shall have the right to annually renew this agreement for a period of one year upon each annual expiration with the written consent of Lucent, which written consent shall not be unreasonably withheld. Either party wishing to terminate the Agreement must give written notice to the other party at least thirty (30) days prior to the desired date of termination.' Signatures: Lucent signed 1/28/03; mPhase signed 01/21/03.</x:v>
      </x:c>
      <x:c r="M24" s="9" t="str">
        <x:v>Uses v6 classification. No fixed cutoff. Other notice types are not repaired.</x:v>
      </x:c>
    </x:row>
    <x:row r="25" ht="260" customHeight="1">
      <x:c r="A25" s="9" t="n">
        <x:v>20</x:v>
      </x:c>
      <x:c r="B25" s="9" t="str">
        <x:v>MusclepharmCorp_20170208_10-KA_EX-10.38_9893581_EX-10.38_Co-Branding Agreement.pdf</x:v>
      </x:c>
      <x:c r="C25" s="9" t="str">
        <x:v>model_output_normalized_by_code</x:v>
      </x:c>
      <x:c r="D25" s="9" t="str">
        <x:v>Yes</x:v>
      </x:c>
      <x:c r="E25" s="9" t="str">
        <x:v>Unknown</x:v>
      </x:c>
      <x:c r="F25" s="9" t="str">
        <x:v>none</x:v>
      </x:c>
      <x:c r="G25" s="9"/>
      <x:c r="H25" s="9"/>
      <x:c r="I25" s="9"/>
      <x:c r="J25" s="9" t="str">
        <x:v>Yes</x:v>
      </x:c>
      <x:c r="K25" s="9" t="str">
        <x:v>Not applicable</x:v>
      </x:c>
      <x:c r="L25" s="9" t="str">
        <x:v>[PDF page 1] 'This ENDORSEMENT LICENSING AND CO-BRANDING AGREEMENT is entered into on July 26, 2013 (the "Effective Date")'; [PDF page 2, Section 1(a)] 'This Agreement shall have an Initial Term of three (3) years. The Term shall commence on July 23, 2013 and shall expire on July 22, 2016'; [PDF page 2, Section 1(b)] 'In the event that MusclePharm shall achieve Net Sales...of $20 million...in the aggregate during the Third Contract Year, then this Agreement shall automatically be renewed for an additional term of three (3) years...'; [PDF page 2, Section 1(c)] 'In the event that MusclePharm shall achieve Net Sales of $50 million...in the aggregate during the sixth Contract Year, then this Agreement shall automatically be renewed for an additional term of three (3) years...'; [PDF page 27] All four parties signed and dated July 26, 2013.</x:v>
      </x:c>
      <x:c r="M25" s="9" t="str">
        <x:v>Uses v6 classification. No fixed cutoff. Other notice types are not repaired.</x:v>
      </x:c>
    </x:row>
    <x:row r="26" ht="260" customHeight="1">
      <x:c r="A26" s="9" t="n">
        <x:v>21</x:v>
      </x:c>
      <x:c r="B26" s="9" t="str">
        <x:v>NeoformaInc_19991202_S-1A_EX-10.26_5224521_EX-10.26_Co-Branding Agreement.pdf</x:v>
      </x:c>
      <x:c r="C26" s="9" t="str">
        <x:v>model_output_normalized_by_code</x:v>
      </x:c>
      <x:c r="D26" s="9" t="str">
        <x:v>Yes</x:v>
      </x:c>
      <x:c r="E26" s="9" t="str">
        <x:v>2001-11-18</x:v>
      </x:c>
      <x:c r="F26" s="9" t="str">
        <x:v>days_before_end</x:v>
      </x:c>
      <x:c r="G26" s="9" t="n">
        <x:v>30</x:v>
      </x:c>
      <x:c r="H26" s="9"/>
      <x:c r="I26" s="9"/>
      <x:c r="J26" s="9" t="str">
        <x:v>No</x:v>
      </x:c>
      <x:c r="K26" s="9" t="str">
        <x:v>Model asserted; not PDF verified</x:v>
      </x:c>
      <x:c r="L26" s="9" t="str">
        <x:v>[PDF page 1] 'is dated as of November 19, 1999 (the "Effective Date")'; Section 1.9: 'INITIAL TERM shall mean the Effective Date through the day prior to the second anniversary of the Effective Date, unless earlier terminated pursuant to Section 11'; Section 1.41: 'RENEWAL TERM shall have the meaning ascribed thereto in Section 11.1 [AUTOMATIC RENEWAL]'; [PDF page 9] Section 11.1: 'This Agreement will automatically renew at the end of the Initial Term or a subsequent renewal term on a year to year basis (each, a "Renewal Term"), unless either Party notifies the other at least 30 days prior to the end of the Initial Term or then current Renewal Term, as applicable, of its intention not to renew this Agreement (a "Termination Notice")'; [PDF page 14] Signatures of both parties present with no separate execution date stated, consistent with the 'as of' date of November 19, 1999.</x:v>
      </x:c>
      <x:c r="M26" s="9" t="str">
        <x:v>Deterministic normalization of frozen v6 prose. Not human-verified and not a native structured v6 output.</x:v>
      </x:c>
    </x:row>
    <x:row r="27" ht="260" customHeight="1">
      <x:c r="A27" s="9" t="n">
        <x:v>22</x:v>
      </x:c>
      <x:c r="B27" s="9" t="str">
        <x:v>PacificapEntertainmentHoldingsInc_20051115_8-KA_EX-1.01_4300894_EX-1.01_Content License Agreement.pdf</x:v>
      </x:c>
      <x:c r="C27" s="9" t="str">
        <x:v>model_output_normalized_by_code</x:v>
      </x:c>
      <x:c r="D27" s="9" t="str">
        <x:v>No</x:v>
      </x:c>
      <x:c r="E27" s="9" t="str">
        <x:v>Unknown</x:v>
      </x:c>
      <x:c r="F27" s="9" t="str">
        <x:v>Unknown</x:v>
      </x:c>
      <x:c r="G27" s="9"/>
      <x:c r="H27" s="9"/>
      <x:c r="I27" s="9"/>
      <x:c r="J27" s="9" t="str">
        <x:v>Yes</x:v>
      </x:c>
      <x:c r="K27" s="9" t="str">
        <x:v>Unknown</x:v>
      </x:c>
      <x:c r="L27" s="9" t="str">
        <x:v>[PDF page 1] 'THIS CONTENT LICENSE AGREEMENT...is made as of this 3rd day of November, 2005' — recital/agreement date only. [PDF page 3] 'INITIAL TERM AND RENEWALS: This Agreement will become effective as of the last date of signature (Effective Date) and shall...remain effective for an initial term of 10 Years following the first date of public availability of the PACIFICAP ENTERTAINMENT Content within a THE HENRY FILM AND ENTERTAINMENT CORPORATION Property (the "Initial Term"). After the Initial Term, this Agreement will be automatically renewed for successive additional 3-year periods ("Extension Terms"), unless otherwise terminated by either party by giving notice to the other party not less than sixty (60) days prior to the end of a Term.' [PDF page 5] Signature blocks for Ed Litwak (Pacificap Entertainment) and Michael Henry (The Henry Film and Entertainment Corporation) both show blank date lines — no execution dates are filled in. Witness signature also undated.</x:v>
      </x:c>
      <x:c r="M27" s="9" t="str">
        <x:v>V6 says deadline not calculable. No human correction added to this lane.</x:v>
      </x:c>
    </x:row>
    <x:row r="28" ht="260" customHeight="1">
      <x:c r="A28" s="9" t="n">
        <x:v>23</x:v>
      </x:c>
      <x:c r="B28" s="9" t="str">
        <x:v>PapaJohnsInternationalInc_20190617_8-K_EX-10.1_11707365_EX-10.1_Endorsement Agreement.pdf</x:v>
      </x:c>
      <x:c r="C28" s="9" t="str">
        <x:v>model_output_normalized_by_code</x:v>
      </x:c>
      <x:c r="D28" s="9" t="str">
        <x:v>Yes</x:v>
      </x:c>
      <x:c r="E28" s="9" t="str">
        <x:v>Unknown</x:v>
      </x:c>
      <x:c r="F28" s="9" t="str">
        <x:v>none</x:v>
      </x:c>
      <x:c r="G28" s="9"/>
      <x:c r="H28" s="9"/>
      <x:c r="I28" s="9"/>
      <x:c r="J28" s="9" t="str">
        <x:v>Yes</x:v>
      </x:c>
      <x:c r="K28" s="9" t="str">
        <x:v>Not applicable</x:v>
      </x:c>
      <x:c r="L28" s="9" t="str">
        <x:v>[PDF page 1] 'made and entered into effective March 15, 2019 (the "Effective Date")'; [PDF page 2] Section 2: 'the initial term of this Agreement ("Term") is the Effective Date through March 15, 2022. The Agreement may be extended for one (1) year upon the parties' mutual agreement in writing, it being specifically understood the services to be performed by CELEBRITY (on behalf of ABG) and remuneration to ABG in connection with the same shall be negotiated in good faith.'; [PDF page 1] Section 1.B: 'Contract Year shall refer to the period commencing on the Effective Date and ending the day before the one year anniversary of the Effective Date'; [PDF page 23] Signature block: PJMF and PJI signed 6/6/19; ABG-Shaq, LLC signed June 11, 2019 — both after the March 15, 2019 Effective Date.</x:v>
      </x:c>
      <x:c r="M28" s="9" t="str">
        <x:v>Uses v6 classification. No fixed cutoff. Other notice types are not repaired.</x:v>
      </x:c>
    </x:row>
    <x:row r="29" ht="260" customHeight="1">
      <x:c r="A29" s="9" t="n">
        <x:v>24</x:v>
      </x:c>
      <x:c r="B29" s="9" t="str">
        <x:v>ParatekPharmaceuticalsInc_20170505_10-KA_EX-10.29_10323872_EX-10.29_Outsourcing Agreement.pdf</x:v>
      </x:c>
      <x:c r="C29" s="9" t="str">
        <x:v>model_output_normalized_by_code</x:v>
      </x:c>
      <x:c r="D29" s="9" t="str">
        <x:v>No</x:v>
      </x:c>
      <x:c r="E29" s="9" t="str">
        <x:v>Unknown</x:v>
      </x:c>
      <x:c r="F29" s="9" t="str">
        <x:v>Unknown</x:v>
      </x:c>
      <x:c r="G29" s="9"/>
      <x:c r="H29" s="9"/>
      <x:c r="I29" s="9"/>
      <x:c r="J29" s="9" t="str">
        <x:v>Yes</x:v>
      </x:c>
      <x:c r="K29" s="9" t="str">
        <x:v>Unknown</x:v>
      </x:c>
      <x:c r="L29" s="9" t="str">
        <x:v>[PDF page 1] Cover page: 'Date: 30 December 2016.' [PDF page 7] Preamble: 'THIS AGREEMENT...dated December 30, 2016 (the "Effective Date").' [PDF page 12] Section 2.1: 'This Agreement shall commence on the Effective Date and shall be valid until the [* * *] (the "Initial Term"). Both Parties shall use reasonably diligent efforts to come to a subsequent long-term agreement...no later than [* * *]...Should the Parties have not agreed to the following agreement by [* * *], this Agreement shall automatically stay in force for a maximum of [* * *] (unless otherwise mutually agreed by the Parties or as otherwise set forth in Section 18.1(a)) or until the Parties have signed the follow-on agreement (the "Renewal Term").' [PDF page 11] Section 1.1(ii): '"Term" means the Initial Term and the Renewal Term, if applicable.' [PDF page 38] Section 18.1(a): 'Customer delivers written notice of termination to Supplier at least [* * *] prior to the expiration date of the Initial Term, which termination shall be effective as of the expiration date of the Initial Term.' Section 18.1(b): 'either Party delivers written notice of termination to the other Party at least [* * *] prior to the expiration date of the Renewal Term, which termination shall be effective as of the expiration date of the Renewal Term.' [PDF page 45] Signatures: Customer signed January 9, 2017; Carbogen Amcis AG signed January 10, 2017.</x:v>
      </x:c>
      <x:c r="M29" s="9" t="str">
        <x:v>V6 says deadline not calculable. No human correction added to this lane.</x:v>
      </x:c>
    </x:row>
    <x:row r="30" ht="260" customHeight="1">
      <x:c r="A30" s="9" t="n">
        <x:v>25</x:v>
      </x:c>
      <x:c r="B30" s="9" t="str">
        <x:v>PfHospitalityGroupInc_20150923_10-12G_EX-10.1_9266710_EX-10.1_Franchise Agreement1.pdf</x:v>
      </x:c>
      <x:c r="C30" s="9" t="str">
        <x:v>model_output_normalized_by_code</x:v>
      </x:c>
      <x:c r="D30" s="9" t="str">
        <x:v>No</x:v>
      </x:c>
      <x:c r="E30" s="9" t="str">
        <x:v>Unknown</x:v>
      </x:c>
      <x:c r="F30" s="9" t="str">
        <x:v>Unknown</x:v>
      </x:c>
      <x:c r="G30" s="9"/>
      <x:c r="H30" s="9"/>
      <x:c r="I30" s="9"/>
      <x:c r="J30" s="9" t="str">
        <x:v>Yes</x:v>
      </x:c>
      <x:c r="K30" s="9" t="str">
        <x:v>Unknown</x:v>
      </x:c>
      <x:c r="L30" s="9" t="str">
        <x:v>[PDF page 1] Cover page shows 'Agreement Date' as a blank field and 'Location of the Premises' as blank. [PDF page 6] Section 2.1: 'This Agreement expires ten (10) years from the Agreement Date (the "Term").' Section 2.2: 'you will have the option to continue the franchise relationship with us for two (2) additional terms of ten (10) years each.' Section 2.2.1: 'You must give us written notice of your desire to exercise your option not more than twelve (12) months and not less than nine (9) months before this Agreement expires.' [PDF page 41] Signature page: 'The parties, intending to be legally bound, have entered into this Agreement on the date first written above' — both signature blocks are blank. [PDF page 42] Appendix A: Opening Deadline is blank with note '[Unless, otherwise agreed upon, the Opening Deadline will be nine months after the Agreement Date].'</x:v>
      </x:c>
      <x:c r="M30" s="9" t="str">
        <x:v>V6 says deadline not calculable. No human correction added to this lane.</x:v>
      </x:c>
    </x:row>
    <x:row r="31" ht="260" customHeight="1">
      <x:c r="A31" s="9" t="n">
        <x:v>26</x:v>
      </x:c>
      <x:c r="B31" s="9" t="str">
        <x:v>RaeSystemsInc_20001114_10-Q_EX-10.57_2631790_EX-10.57_Co-Branding Agreement.pdf</x:v>
      </x:c>
      <x:c r="C31" s="9" t="str">
        <x:v>model_output_normalized_by_code</x:v>
      </x:c>
      <x:c r="D31" s="9" t="str">
        <x:v>Yes</x:v>
      </x:c>
      <x:c r="E31" s="9" t="str">
        <x:v>Unknown</x:v>
      </x:c>
      <x:c r="F31" s="9" t="str">
        <x:v>rolling</x:v>
      </x:c>
      <x:c r="G31" s="9"/>
      <x:c r="H31" s="9"/>
      <x:c r="I31" s="9"/>
      <x:c r="J31" s="9" t="str">
        <x:v>No</x:v>
      </x:c>
      <x:c r="K31" s="9" t="str">
        <x:v>Not applicable</x:v>
      </x:c>
      <x:c r="L31" s="9" t="str">
        <x:v>[PDF page 1] 'This CO-BRANDING AGREEMENT...is made and entered into as of Nov 5, 1999, (the "Effective Date")'; [PDF page 4] Section 8.1: 'This Agreement shall be effective upon the Effective Date and shall remain in force for a period of one (1) year, and shall be automatically renewed for successive periods of one (1) year unless otherwise terminated as provided herein.'; Section 8.2: 'NETTAXI may terminate this Agreement at any time for its convenience, for no reason or for any reason, upon sixty (60) days prior written notice to SpinRecords.com...SpinRecords.com may terminate this Agreement for no reason or for any reason upon sixty (60) days prior written notice to NETTAXI.'; [PDF page 6] Signatures of both parties with no separate date indicated, executed 'as of the date and year first above written' (Nov 5, 1999).</x:v>
      </x:c>
      <x:c r="M31" s="9" t="str">
        <x:v>Uses v6 classification. No fixed cutoff. Other notice types are not repaired.</x:v>
      </x:c>
    </x:row>
    <x:row r="32" ht="260" customHeight="1">
      <x:c r="A32" s="9" t="n">
        <x:v>27</x:v>
      </x:c>
      <x:c r="B32" s="9" t="str">
        <x:v>RandWorldwideInc_20010402_8-KA_EX-10.2_2102464_EX-10.2_Co-Branding Agreement.pdf</x:v>
      </x:c>
      <x:c r="C32" s="9" t="str">
        <x:v>model_output_normalized_by_code</x:v>
      </x:c>
      <x:c r="D32" s="9" t="str">
        <x:v>No</x:v>
      </x:c>
      <x:c r="E32" s="9" t="str">
        <x:v>Unknown</x:v>
      </x:c>
      <x:c r="F32" s="9" t="str">
        <x:v>Unknown</x:v>
      </x:c>
      <x:c r="G32" s="9"/>
      <x:c r="H32" s="9"/>
      <x:c r="I32" s="9"/>
      <x:c r="J32" s="9" t="str">
        <x:v>Yes</x:v>
      </x:c>
      <x:c r="K32" s="9" t="str">
        <x:v>Unknown</x:v>
      </x:c>
      <x:c r="L32" s="9" t="str">
        <x:v>[PDF page 1] Agreement 'made as of this November 14, 2000'; [PDF page 2] Section 1.12: 'Effective Date means November 14, 2000'; Section 1.18: 'Launch Date shall mean the date of first log in of a Dassault Systemes Customer for the Co-Branded Service'; Section 1.16: 'Initial Term shall have the meaning set forth in Section 10.1'; [PDF page 8] Section 10.1: 'This Agreement shall be effective as of the Effective Date and shall continue in force for three years from the Launch Date (the Initial Term) unless earlier terminated... The Agreement shall automatically renew for successive one year additional terms unless terminated by either party at least six months prior to the expiration of the then-current term'; Section 10.3: 'this Agreement shall terminate six months from the date on which the parties make a conclusive determination that satisfactory terms could not be reached'; [PDF page 10-11] Signatures of R. Bruce Morgan (PlanetCAD) and Thibault de Tersant (Dassault Systemes), undated, with recital 'effective the day and year first above written' (i.e., November 14, 2000).</x:v>
      </x:c>
      <x:c r="M32" s="9" t="str">
        <x:v>V6 says deadline not calculable. No human correction added to this lane.</x:v>
      </x:c>
    </x:row>
    <x:row r="33" ht="260" customHeight="1">
      <x:c r="A33" s="9" t="n">
        <x:v>28</x:v>
      </x:c>
      <x:c r="B33" s="9" t="str">
        <x:v>RemarkHoldingsInc_20081114_10-Q_EX-10.24_2895649_EX-10.24_Content License Agreement.pdf</x:v>
      </x:c>
      <x:c r="C33" s="9" t="str">
        <x:v>model_output_normalized_by_code</x:v>
      </x:c>
      <x:c r="D33" s="9" t="str">
        <x:v>Yes</x:v>
      </x:c>
      <x:c r="E33" s="9" t="str">
        <x:v>Unknown</x:v>
      </x:c>
      <x:c r="F33" s="9" t="str">
        <x:v>none</x:v>
      </x:c>
      <x:c r="G33" s="9"/>
      <x:c r="H33" s="9"/>
      <x:c r="I33" s="9"/>
      <x:c r="J33" s="9" t="str">
        <x:v>Yes</x:v>
      </x:c>
      <x:c r="K33" s="9" t="str">
        <x:v>Not applicable</x:v>
      </x:c>
      <x:c r="L33" s="9" t="str">
        <x:v>[PDF page 1] Preamble: 'entered into and effective September 17, 2008 (the "Effective Date")'; [PDF page 2] Section 1.11 Delivery Period: 'July 1, 2008 - December 30th, 2009'; [PDF page 12] Section 6.1(i): 'This Agreement shall commence on the Effective Date and...continue in full force and effect through the Delivery Period'; Section 6.1(ii): 'certain license grants for Content, Images and Affinities extend beyond the expiration or earlier termination of this Agreement'; [PDF page 7] Section 2.2(iii): 'The term of the license for the Content delivered to HSWI as part of the Affinities...shall be perpetual, Exclusive, and irrevocable'; [PDF page 8] Section 2.3(ii): 'The term of the license for Translated Content shall be for a term of [*] ([*]) years from the time such Translated Content is first Displayed on an HSWI Website...At the end of such [*] ([*]) year period, HSWI shall have the right to renew the Agreement under materially the same terms or shall have an option to purchase the Translated Content outright'; [PDF page 22] Signature block: 'IN WITNESS WHEREOF, the parties hereto have executed this Agreement as of its Effective Date' — signed by Bradley T. Zimmer (HSWI) and Donald Keller (World Book), no separate signature dates shown.</x:v>
      </x:c>
      <x:c r="M33" s="9" t="str">
        <x:v>Uses v6 classification. No fixed cutoff. Other notice types are not repaired.</x:v>
      </x:c>
    </x:row>
    <x:row r="34" ht="260" customHeight="1">
      <x:c r="A34" s="9" t="n">
        <x:v>29</x:v>
      </x:c>
      <x:c r="B34" s="9" t="str">
        <x:v>RitterPharmaceuticalsInc_20200313_S-4A_EX-10.54_12055220_EX-10.54_Development Agreement.pdf</x:v>
      </x:c>
      <x:c r="C34" s="9" t="str">
        <x:v>model_output_normalized_by_code</x:v>
      </x:c>
      <x:c r="D34" s="9" t="str">
        <x:v>Yes</x:v>
      </x:c>
      <x:c r="E34" s="9" t="str">
        <x:v>2021-04-30</x:v>
      </x:c>
      <x:c r="F34" s="9" t="str">
        <x:v>months_before_end</x:v>
      </x:c>
      <x:c r="G34" s="9" t="n">
        <x:v>6</x:v>
      </x:c>
      <x:c r="H34" s="9"/>
      <x:c r="I34" s="9"/>
      <x:c r="J34" s="9" t="str">
        <x:v>No</x:v>
      </x:c>
      <x:c r="K34" s="9" t="str">
        <x:v>Model asserted; not PDF verified</x:v>
      </x:c>
      <x:c r="L34" s="9" t="str">
        <x:v>[PDF page 1] Agreement 'made and entered into as of May 1, 2016.' [PDF page 2] Section 1.9: 'Effective Date shall mean May 1, 2016.' [PDF page 3] Section 2.2: 'The initial term of this Agreement shall commence on the Effective Date and shall continue for a period of five (5) years unless earlier terminated pursuant to Section 14 hereof (the "Term"). The initial term of this Agreement and any renewal term thereof shall be automatically extended at the end of the initial term and any renewal term thereof for an additional one (1) year period unless either Party notifies the other Party not less than six (6) months before the end of the then in effect term of its intent to terminate this Agreement.' [PDF page 28] Signatures: /s/ Robert T. Schruender (Sekisui) and /s/ Paul A. Rosinack (Qualigen), executed 'as of the date first above written' (May 1, 2016); no separate signature date is stated, and the term clause is based on the defined Effective Date, not on the act of signing.</x:v>
      </x:c>
      <x:c r="M34" s="9" t="str">
        <x:v>Deterministic normalization of frozen v6 prose. Not human-verified and not a native structured v6 output.</x:v>
      </x:c>
    </x:row>
    <x:row r="35" ht="260" customHeight="1">
      <x:c r="A35" s="9" t="n">
        <x:v>30</x:v>
      </x:c>
      <x:c r="B35" s="9" t="str">
        <x:v>ScansourceInc_20190822_10-K_EX-10.38_11793958_EX-10.38_Distributor Agreement1.pdf</x:v>
      </x:c>
      <x:c r="C35" s="9" t="str">
        <x:v>model_output_normalized_by_code</x:v>
      </x:c>
      <x:c r="D35" s="9" t="str">
        <x:v>No</x:v>
      </x:c>
      <x:c r="E35" s="9" t="str">
        <x:v>Unknown</x:v>
      </x:c>
      <x:c r="F35" s="9" t="str">
        <x:v>days_before_end</x:v>
      </x:c>
      <x:c r="G35" s="9" t="n">
        <x:v>30</x:v>
      </x:c>
      <x:c r="H35" s="9"/>
      <x:c r="I35" s="9"/>
      <x:c r="J35" s="9" t="str">
        <x:v>Yes</x:v>
      </x:c>
      <x:c r="K35" s="9" t="str">
        <x:v>Unknown</x:v>
      </x:c>
      <x:c r="L35" s="9" t="str">
        <x:v>[PDF page 1] Signature block: 'entered into as of the date last written below ("the Effective Date")'; Distributor signed 1/19/07; Cisco signed January 22, 2007 — Effective Date is January 22, 2007 as the later date. [PDF page 9] Section 18.1: 'This Agreement shall commence on the Effective Date and continue thereafter for a period of two (2) years, unless extended by written agreement of both parties or sooner terminated as set forth below. Without prejudice to either party's right to terminate this Agreement as set forth in sub-sections 18.2 to 18.5 below, Cisco may, by written notice to Distributor, given at least thirty (30) days prior to the end of the then-current term of the Agreement, extend the term of the Agreement for the period set forth in such notice, up to a maximum of one (1) year beyond the then-current expiration date.' [PDF page 9] Section 18.2: 'Either party may terminate this Agreement, without cause, by giving the other party [*****] days prior written notice' (day-count redacted).</x:v>
      </x:c>
      <x:c r="M35" s="9" t="str">
        <x:v>No explicit term endpoint recognized. Parser does not infer an endpoint from a duration alone.</x:v>
      </x:c>
    </x:row>
    <x:row r="36" ht="260" customHeight="1">
      <x:c r="A36" s="9" t="n">
        <x:v>31</x:v>
      </x:c>
      <x:c r="B36" s="9" t="str">
        <x:v>SigaTechnologiesInc_20190603_8-K_EX-10.1_11695818_EX-10.1_Promotion Agreement.pdf</x:v>
      </x:c>
      <x:c r="C36" s="9" t="str">
        <x:v>model_output_normalized_by_code</x:v>
      </x:c>
      <x:c r="D36" s="9" t="str">
        <x:v>Yes</x:v>
      </x:c>
      <x:c r="E36" s="9" t="str">
        <x:v>2024-05-31</x:v>
      </x:c>
      <x:c r="F36" s="9" t="str">
        <x:v>days_before_end</x:v>
      </x:c>
      <x:c r="G36" s="9" t="n">
        <x:v>90</x:v>
      </x:c>
      <x:c r="H36" s="9"/>
      <x:c r="I36" s="9"/>
      <x:c r="J36" s="9" t="str">
        <x:v>No</x:v>
      </x:c>
      <x:c r="K36" s="9" t="str">
        <x:v>Model asserted; not PDF verified</x:v>
      </x:c>
      <x:c r="L36" s="9" t="str">
        <x:v>[PDF page 5] 'This PROMOTION AGREEMENT...is entered into as of May 31, 2019 (the "Effective Date")'; [PDF page 39] Section 11.1: 'This Agreement becomes effective on the Effective Date and, unless earlier terminated as provided in this ARTICLE 11, shall continue until the five (5) year anniversary of the Effective Date (the "Initial Term"). This Agreement shall be automatically renewed for successive three (3) year terms thereafter (each a "Renewal Term"...) until and unless (i) either Party provides the other Party written notice of non-renewal no later than ninety (90) days prior the end of the Initial Term or any Renewal Term or (ii) earlier terminated as provided in this ARTICLE 11.'; [PDF page 40] Section 11.5: 'MMT may at any time terminate this Agreement on country-by-country basis, or in its entirety, upon [***] months\'  prior written notice to SIGA.'; [PDF page 47] Signature page: 'IN WITNESS WHEREOF, the Parties hereto have caused this Agreement to be executed by their duly authorized officers as of the Effective Date.' Signed by /s/ Phillip L. Gomez, III (SIGA CEO) and /s/ Thomas Handel (MMT General Manager and President).</x:v>
      </x:c>
      <x:c r="M36" s="9" t="str">
        <x:v>Deterministic normalization of frozen v6 prose. Not human-verified and not a native structured v6 output.</x:v>
      </x:c>
    </x:row>
    <x:row r="37" ht="260" customHeight="1">
      <x:c r="A37" s="9" t="n">
        <x:v>32</x:v>
      </x:c>
      <x:c r="B37" s="9" t="str">
        <x:v>StaarSurgicalCompany_20180801_10-Q_EX-10.37_11289449_EX-10.37_Distributor Agreement.pdf</x:v>
      </x:c>
      <x:c r="C37" s="9" t="str">
        <x:v>model_output_normalized_by_code</x:v>
      </x:c>
      <x:c r="D37" s="9" t="str">
        <x:v>Yes</x:v>
      </x:c>
      <x:c r="E37" s="9" t="str">
        <x:v>Unknown</x:v>
      </x:c>
      <x:c r="F37" s="9" t="str">
        <x:v>rolling</x:v>
      </x:c>
      <x:c r="G37" s="9"/>
      <x:c r="H37" s="9"/>
      <x:c r="I37" s="9"/>
      <x:c r="J37" s="9" t="str">
        <x:v>Yes</x:v>
      </x:c>
      <x:c r="K37" s="9" t="str">
        <x:v>Not applicable</x:v>
      </x:c>
      <x:c r="L37" s="9" t="str">
        <x:v>[PDF page 1] 'entered into and made effective as of ____________ (the "Effective Date")' — Effective Date is blank. [PDF page 3] Section 3: 'The term of this Agreement shall commence on the Effective Date and terminate in _____________, on _____________, unless terminated earlier... this Agreement may be renewed for successive one (1) year periods if STAAR and Distributor expressly agree in writing and in their sole discretion to renew this Agreement prior to the foregoing termination date or any successive renewal term.' — both term-end blanks unfilled. [PDF page 10] Section 14.3: 'either party shall have the right to terminate this Agreement, without cause, upon no less than ninety (90) days' prior written notice to the other party.' — rolling termination right. [PDF page 15] Signature block: 'executed... on this __ day of ____, 20___' — signature date blank for both parties.</x:v>
      </x:c>
      <x:c r="M37" s="9" t="str">
        <x:v>Uses v6 classification. No fixed cutoff. Other notice types are not repaired.</x:v>
      </x:c>
    </x:row>
    <x:row r="38" ht="260" customHeight="1">
      <x:c r="A38" s="9" t="n">
        <x:v>33</x:v>
      </x:c>
      <x:c r="B38" s="9" t="str">
        <x:v>SteelVaultCorp_20081224_10-K_EX-10.16_3074935_EX-10.16_Affiliate Agreement.pdf</x:v>
      </x:c>
      <x:c r="C38" s="9" t="str">
        <x:v>model_output_normalized_by_code</x:v>
      </x:c>
      <x:c r="D38" s="9" t="str">
        <x:v>Yes</x:v>
      </x:c>
      <x:c r="E38" s="9" t="str">
        <x:v>Unknown</x:v>
      </x:c>
      <x:c r="F38" s="9" t="str">
        <x:v>rolling</x:v>
      </x:c>
      <x:c r="G38" s="9"/>
      <x:c r="H38" s="9"/>
      <x:c r="I38" s="9"/>
      <x:c r="J38" s="9" t="str">
        <x:v>No</x:v>
      </x:c>
      <x:c r="K38" s="9" t="str">
        <x:v>Not applicable</x:v>
      </x:c>
      <x:c r="L38" s="9" t="str">
        <x:v>[PDF page 1] 'This Agreement is made this 1st day of October 2008, (the "Effective Date")'; [PDF page 2] Section 7: 'This Agreement commences on the Effective Date, and terminates...upon the earliest of termination in accordance with the following.'; Section 7.1: 'This Agreement shall be for the term of one year; thereafter, the Agreement shall renew automatically under these same terms and agreements unless superceded by future agreements.'; Section 7.2: 'This Agreement may be terminated by either party with cause upon thirty (30) days written notice. Upon Marketing Affiliate's default in payment or other breach of this Agreement, Equidata may terminate this Agreement without notice to Marketing Affiliate.'; [PDF page 4] Signatures: /s/ Kitty Chase (Equidata SVP) and /s/ Ivan Posniak (Marketing Affiliate CEO), no separate signature date stated.</x:v>
      </x:c>
      <x:c r="M38" s="9" t="str">
        <x:v>Uses v6 classification. No fixed cutoff. Other notice types are not repaired.</x:v>
      </x:c>
    </x:row>
    <x:row r="39" ht="260" customHeight="1">
      <x:c r="A39" s="9" t="n">
        <x:v>34</x:v>
      </x:c>
      <x:c r="B39" s="9" t="str">
        <x:v>TodosMedicalLtd_20190328_20-F_EX-4.10_11587157_EX-4.10_Marketing Agreement_ Reseller Agreement.pdf</x:v>
      </x:c>
      <x:c r="C39" s="9" t="str">
        <x:v>model_output_normalized_by_code</x:v>
      </x:c>
      <x:c r="D39" s="9" t="str">
        <x:v>No</x:v>
      </x:c>
      <x:c r="E39" s="9" t="str">
        <x:v>Unknown</x:v>
      </x:c>
      <x:c r="F39" s="9" t="str">
        <x:v>Unknown</x:v>
      </x:c>
      <x:c r="G39" s="9"/>
      <x:c r="H39" s="9"/>
      <x:c r="I39" s="9"/>
      <x:c r="J39" s="9" t="str">
        <x:v>Yes</x:v>
      </x:c>
      <x:c r="K39" s="9" t="str">
        <x:v>Unknown</x:v>
      </x:c>
      <x:c r="L39" s="9" t="str">
        <x:v>[PDF page 1] 'THIS AGREEMENT is made and entered into this 20th day of December 2018 (the "Effective Date")'; [PDF page 11] Signatures of both parties dated 20/12/2018; [PDF page 8] Section 11.1: 'This Agreement shall be effective as of the Effective Date and shall continue in effect for a period of five (5) years from the Reseller's first purchase order for Product issued to Todos (the "Initial Term"), unless terminated earlier by one of the parties in accordance with the terms of this Section 11. Upon completion of the Initial Term, provided that the Reseller has achieved the Annual Milestones, the term of the Agreement shall be automatically renewed for an additional five (5) years. Thereafter, at the end of each renewal term, the Agreement shall renew for an additional two (2) years unless one party provides the other party with prior written notice of non-renewal at least sixty (60) days prior to the expiration of the then-current term.'</x:v>
      </x:c>
      <x:c r="M39" s="9" t="str">
        <x:v>V6 says deadline not calculable. No human correction added to this lane.</x:v>
      </x:c>
    </x:row>
    <x:row r="40" ht="260" customHeight="1">
      <x:c r="A40" s="9" t="n">
        <x:v>35</x:v>
      </x:c>
      <x:c r="B40" s="9" t="str">
        <x:v>TubeMediaCorp_20060310_8-K_EX-10.1_513921_EX-10.1_Affiliate Agreement.pdf</x:v>
      </x:c>
      <x:c r="C40" s="9" t="str">
        <x:v>model_output_normalized_by_code</x:v>
      </x:c>
      <x:c r="D40" s="9" t="str">
        <x:v>Yes</x:v>
      </x:c>
      <x:c r="E40" s="9" t="str">
        <x:v>2011-03-31</x:v>
      </x:c>
      <x:c r="F40" s="9" t="str">
        <x:v>months_before_end</x:v>
      </x:c>
      <x:c r="G40" s="9" t="n">
        <x:v>6</x:v>
      </x:c>
      <x:c r="H40" s="9"/>
      <x:c r="I40" s="9"/>
      <x:c r="J40" s="9" t="str">
        <x:v>No</x:v>
      </x:c>
      <x:c r="K40" s="9" t="str">
        <x:v>Model asserted; not PDF verified</x:v>
      </x:c>
      <x:c r="L40" s="9" t="str">
        <x:v>[PDF page 1] Preamble: 'made as of the 6th day of March, 2006 (the "Effective Date").' [PDF page 2] Section 2(a): 'The "Initial Term" shall commence upon the Effective Date and shall expire on March 31, 2011.' Section 2(b): 'If Affiliate fails to notify Network of its desire that this Agreement terminate on its expiration date, at least six (6) months before the expiration date, this Agreement will automatically renew, upon the same terms and conditions, for an additional four (4)-year period ("Renewal Term").' Section 2(c): exclusive negotiation period for further renewal ends six (6) months before expiration of the Term. [PDF page 13] Section 10(b): Network may terminate on at least ninety (90) days' prior notice. Sections 10(a) and 10(d): 30-day notice with 30-day cure for material breach. [PDF page 18] Signature page: 'The parties hereto have executed this Agreement to be effective as of the Effective Date.' Signed by /s/ John E. Reardon (Affiliate) and /s/ Les Garland (Network), no separate signature dates shown.</x:v>
      </x:c>
      <x:c r="M40" s="9" t="str">
        <x:v>Deterministic normalization of frozen v6 prose. Not human-verified and not a native structured v6 output.</x:v>
      </x:c>
    </x:row>
    <x:row r="41" ht="260" customHeight="1">
      <x:c r="A41" s="9" t="n">
        <x:v>36</x:v>
      </x:c>
      <x:c r="B41" s="9" t="str">
        <x:v>UsioInc_20040428_SB-2_EX-10.11_1723988_EX-10.11_Affiliate Agreement 2.pdf</x:v>
      </x:c>
      <x:c r="C41" s="9" t="str">
        <x:v>model_output_normalized_by_code</x:v>
      </x:c>
      <x:c r="D41" s="9" t="str">
        <x:v>No</x:v>
      </x:c>
      <x:c r="E41" s="9" t="str">
        <x:v>Unknown</x:v>
      </x:c>
      <x:c r="F41" s="9" t="str">
        <x:v>Unknown</x:v>
      </x:c>
      <x:c r="G41" s="9"/>
      <x:c r="H41" s="9"/>
      <x:c r="I41" s="9"/>
      <x:c r="J41" s="9" t="str">
        <x:v>Yes</x:v>
      </x:c>
      <x:c r="K41" s="9" t="str">
        <x:v>Unknown</x:v>
      </x:c>
      <x:c r="L41" s="9" t="str">
        <x:v>[PDF page 5] Section 5.01: 'The term ("Term") of this Agreement shall be for one hundred eighty days (180) from the date set forth below unless Network 1 or Visa or MasterCard or Harris Bank doesn't approve Affiliate's ISO application, in which case, the Term will be 3 years. 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 agreements.' [PDF page 6] Signature block: 'EXECUTED this ________ day of ______________________, in the year ____________.' — date left entirely blank; no signatures present.</x:v>
      </x:c>
      <x:c r="M41" s="9" t="str">
        <x:v>V6 says deadline not calculable. No human correction added to this lane.</x:v>
      </x:c>
    </x:row>
    <x:row r="42" ht="260" customHeight="1">
      <x:c r="A42" s="9" t="n">
        <x:v>37</x:v>
      </x:c>
      <x:c r="B42" s="9" t="str">
        <x:v>VertexEnergyInc_20200113_8-K_EX-10.1_11943624_EX-10.1_Marketing Agreement.pdf</x:v>
      </x:c>
      <x:c r="C42" s="9" t="str">
        <x:v>model_output_normalized_by_code</x:v>
      </x:c>
      <x:c r="D42" s="9" t="str">
        <x:v>Yes</x:v>
      </x:c>
      <x:c r="E42" s="9" t="str">
        <x:v>2029-04-30</x:v>
      </x:c>
      <x:c r="F42" s="9" t="str">
        <x:v>days_before_end</x:v>
      </x:c>
      <x:c r="G42" s="9" t="n">
        <x:v>120</x:v>
      </x:c>
      <x:c r="H42" s="9"/>
      <x:c r="I42" s="9"/>
      <x:c r="J42" s="9" t="str">
        <x:v>Yes</x:v>
      </x:c>
      <x:c r="K42" s="9" t="str">
        <x:v>Model asserted; not PDF verified</x:v>
      </x:c>
      <x:c r="L42" s="9" t="str">
        <x:v>[PDF page 1] 'This Joint Supply and Marketing Agreement...shall be effective as of May 1, 2020 "the Commencement Date" and is made and entered into this 10th day of January, 2020.' [PDF page 2] '"Effective Date" means the date as of which the last signature of a Party is affixed hereto.' [PDF page 8] Section 5.1: 'The term of this JSMA shall commence on May 1, 2020 (the "Commencement Date") and ends at April 30, 2029 (the "Term"), with automatic renewals each for a period of five (5) years (a "Renewal Term") unless notice is given pursuant to 5.2.' Section 5.2: 'This JSMA will be terminated as of the end of the Term or any Renewal Term, by either Party giving written notice of non-renewal to the other Party no less than 120 prior to the applicable expiry date (the "Termination Period").' [PDF page 15] Signature page: Bunker One signed by Sara Shipman Myers; Vertex Energy Operating, LLC signature block shows 'Name: Ben Cowart' but no visible signature or date.</x:v>
      </x:c>
      <x:c r="M42" s="9" t="str">
        <x:v>Deterministic normalization of frozen v6 prose. Not human-verified and not a native structured v6 output.</x:v>
      </x:c>
    </x:row>
    <x:row r="43" ht="260" customHeight="1">
      <x:c r="A43" s="9" t="n">
        <x:v>38</x:v>
      </x:c>
      <x:c r="B43" s="9" t="str">
        <x:v>VitalibisInc_20180316_8-K_EX-10.2_11100168_EX-10.2_Hosting Agreement.pdf</x:v>
      </x:c>
      <x:c r="C43" s="9" t="str">
        <x:v>model_output_normalized_by_code</x:v>
      </x:c>
      <x:c r="D43" s="9" t="str">
        <x:v>No</x:v>
      </x:c>
      <x:c r="E43" s="9" t="str">
        <x:v>Unknown</x:v>
      </x:c>
      <x:c r="F43" s="9" t="str">
        <x:v>Unknown</x:v>
      </x:c>
      <x:c r="G43" s="9"/>
      <x:c r="H43" s="9"/>
      <x:c r="I43" s="9"/>
      <x:c r="J43" s="9" t="str">
        <x:v>Yes</x:v>
      </x:c>
      <x:c r="K43" s="9" t="str">
        <x:v>Unknown</x:v>
      </x:c>
      <x:c r="L43" s="9" t="str">
        <x:v>[PDF page 5] Section 10.1: 'This Agreement shall commence as of the Effective Date and shall continue in effect for one (1) year... (the Initial Term). This Agreement shall automatically renew beyond the Initial Term for successive one (1) year terms (each, a Renewal Term), unless a Party provides the other with written notice of termination at least one hundred eighty (180) days prior to the expiration of the Initial Term or the then-current Renewal Term. Regardless of the term, Licensee can terminate Agreement with at least one hundred eighty (180) days written notice with no further obligation.' [PDF page 8] Section 11.16: 'The Effective Date of this Agreement shall be the later of the dates shown by the signatures below.' Signatures: VITALIBIS dated 3-14-18, VOTOCAST dated 3-7-18. [PDF page 13] Exhibit D SOW template recites Effective Date as 'March 7th, 2018.'</x:v>
      </x:c>
      <x:c r="M43" s="9" t="str">
        <x:v>V6 says deadline not calculable. No human correction added to this lane.</x:v>
      </x:c>
    </x:row>
    <x:row r="44" ht="260" customHeight="1">
      <x:c r="A44" s="9" t="n">
        <x:v>39</x:v>
      </x:c>
      <x:c r="B44" s="9" t="str">
        <x:v>WaterNowInc_20191120_10-Q_EX-10.12_11900227_EX-10.12_Distributor Agreement.pdf</x:v>
      </x:c>
      <x:c r="C44" s="9" t="str">
        <x:v>model_output_normalized_by_code</x:v>
      </x:c>
      <x:c r="D44" s="9" t="str">
        <x:v>Yes</x:v>
      </x:c>
      <x:c r="E44" s="9" t="str">
        <x:v>2024-11-12</x:v>
      </x:c>
      <x:c r="F44" s="9" t="str">
        <x:v>days_before_end</x:v>
      </x:c>
      <x:c r="G44" s="9" t="n">
        <x:v>120</x:v>
      </x:c>
      <x:c r="H44" s="9"/>
      <x:c r="I44" s="9"/>
      <x:c r="J44" s="9" t="str">
        <x:v>No</x:v>
      </x:c>
      <x:c r="K44" s="9" t="str">
        <x:v>Model asserted; not PDF verified</x:v>
      </x:c>
      <x:c r="L44" s="9" t="str">
        <x:v>[PDF page 1] 'made and entered into as of the 12th day of November, 2019 (the "Effective Date")'; [PDF page 10] Section 10.1: 'The initial term of this Agreement shall commence on the Effective Date and end on the five (5) year anniversary of the Effective Date (the "Initial Term"), unless sooner terminated pursuant to the terms hereof. Upon expiration of the Initial Term of this Agreement, this Agreement will automatically renew for additional, successive five (5) year periods unless either Party provides the other Party written notice of its desire to terminate at least one hundred twenty (120) days prior to the end of the Initial Term or any renewal.'; [PDF page 15] Signature block states 'executed...as of the date first set forth above' with signature lines for all parties but no individual signature dates shown.</x:v>
      </x:c>
      <x:c r="M44" s="9" t="str">
        <x:v>Deterministic normalization of frozen v6 prose. Not human-verified and not a native structured v6 output.</x:v>
      </x:c>
    </x:row>
    <x:row r="45" ht="260" customHeight="1">
      <x:c r="A45" s="9" t="n">
        <x:v>40</x:v>
      </x:c>
      <x:c r="B45" s="9" t="str">
        <x:v>XinhuaSportsEntertainmentLtd_20070221_F-1_EX-99.4_645553_EX-99.4_Content License Agreement.pdf</x:v>
      </x:c>
      <x:c r="C45" s="9" t="str">
        <x:v>model_output_normalized_by_code</x:v>
      </x:c>
      <x:c r="D45" s="9" t="str">
        <x:v>No</x:v>
      </x:c>
      <x:c r="E45" s="9" t="str">
        <x:v>Unknown</x:v>
      </x:c>
      <x:c r="F45" s="9" t="str">
        <x:v>days_before_end</x:v>
      </x:c>
      <x:c r="G45" s="9" t="n">
        <x:v>30</x:v>
      </x:c>
      <x:c r="H45" s="9"/>
      <x:c r="I45" s="9"/>
      <x:c r="J45" s="9" t="str">
        <x:v>Yes</x:v>
      </x:c>
      <x:c r="K45" s="9" t="str">
        <x:v>Unknown</x:v>
      </x:c>
      <x:c r="L45" s="9" t="str">
        <x:v>[PDF page 1] Agreement dated '15th day of December 2001'; parties are CEIS and XFN. [PDF page 2] Clause 1.1: 'EFFECTIVE DATE means 18 May 2000'; 'TERM means the term as set out in Clause 7.' [PDF page 5] Clause 7.1: 'This Agreement shall take effect from the Effective Date and continue in full force and effect for twenty (20) years thereafter, unless otherwise terminated in accordance with Clause 8.' Clause 7.2: 'This Agreement may be renewed for an additional term of ten (10) years by notice in writing given by XFN to CEIS at the expiry of the Term, for a consideration to be mutually agreed.' Clause 8.1: 'XFN may terminate this Agreement by giving thirty (30) days written notice to the CEIS.' [PDF pages 6-7] Signatures of both parties present but undated, executed 'on the day and year first above written' (15 December 2001).</x:v>
      </x:c>
      <x:c r="M45" s="9" t="str">
        <x:v>No explicit term endpoint recognized. Parser does not infer an endpoint from a duration alone.</x:v>
      </x:c>
    </x:row>
    <x:row r="46" ht="135" customHeight="1">
      <x:c r="A46" s="9" t="n">
        <x:v>1</x:v>
      </x:c>
      <x:c r="B46" s="9" t="str">
        <x:v>AlliedEsportsEntertainmentInc_20190815_8-K_EX-10.19_11788293_EX-10.19_Content License Agreement.pdf</x:v>
      </x:c>
      <x:c r="C46" s="9" t="str">
        <x:v>PDF_reference_inputs_with_review</x:v>
      </x:c>
      <x:c r="D46" s="9" t="str">
        <x:v>Yes</x:v>
      </x:c>
      <x:c r="E46" s="9" t="str">
        <x:v>Unknown</x:v>
      </x:c>
      <x:c r="F46" s="9" t="str">
        <x:v>none</x:v>
      </x:c>
      <x:c r="G46" s="9" t="n">
        <x:v>0</x:v>
      </x:c>
      <x:c r="H46" s="9"/>
      <x:c r="I46" s="9"/>
      <x:c r="J46" s="9" t="str">
        <x:v>Yes</x:v>
      </x:c>
      <x:c r="K46" s="9" t="str">
        <x:v>No fixed first-term cutoff</x:v>
      </x:c>
      <x:c r="L46" s="9" t="str">
        <x:v>PDF p.1 opening; p.2 §3</x:v>
      </x:c>
      <x:c r="M46" s="9" t="str">
        <x:v>Condition depends on payment evidence outside the renewal clause; check other notice provisions before adjudicating.</x:v>
      </x:c>
    </x:row>
    <x:row r="47" ht="135" customHeight="1">
      <x:c r="A47" s="9" t="n">
        <x:v>2</x:v>
      </x:c>
      <x:c r="B47" s="9" t="str">
        <x:v>ArcaUsTreasuryFund_20200207_N-2_EX-99.K5_11971930_EX-99.K5_Development Agreement.pdf</x:v>
      </x:c>
      <x:c r="C47" s="9" t="str">
        <x:v>PDF_reference_inputs_with_review</x:v>
      </x:c>
      <x:c r="D47" s="9" t="str">
        <x:v>Yes</x:v>
      </x:c>
      <x:c r="E47" s="9" t="str">
        <x:v>Unknown</x:v>
      </x:c>
      <x:c r="F47" s="9" t="str">
        <x:v>rolling</x:v>
      </x:c>
      <x:c r="G47" s="9" t="n">
        <x:v>60</x:v>
      </x:c>
      <x:c r="H47" s="9"/>
      <x:c r="I47" s="9"/>
      <x:c r="J47" s="9" t="str">
        <x:v>Yes</x:v>
      </x:c>
      <x:c r="K47" s="9" t="str">
        <x:v>No fixed first-term cutoff</x:v>
      </x:c>
      <x:c r="L47" s="9" t="str">
        <x:v>PDF p.1 opening; p.3 §7(a); p.4 §7(b)</x:v>
      </x:c>
      <x:c r="M47" s="9" t="str">
        <x:v>This is a form agreement with [___], 2020; date and annual approvals need external confirmation.</x:v>
      </x:c>
    </x:row>
    <x:row r="48" ht="135" customHeight="1">
      <x:c r="A48" s="9" t="n">
        <x:v>3</x:v>
      </x:c>
      <x:c r="B48" s="9" t="str">
        <x:v>AzulSa_20170303_F-1A_EX-10.3_9943903_EX-10.3_Maintenance Agreement1.pdf</x:v>
      </x:c>
      <x:c r="C48" s="9" t="str">
        <x:v>PDF_reference_inputs_with_review</x:v>
      </x:c>
      <x:c r="D48" s="9" t="str">
        <x:v>No</x:v>
      </x:c>
      <x:c r="E48" s="9" t="str">
        <x:v>Unknown</x:v>
      </x:c>
      <x:c r="F48" s="9" t="str">
        <x:v>unknown</x:v>
      </x:c>
      <x:c r="G48" s="9" t="n">
        <x:v>0</x:v>
      </x:c>
      <x:c r="H48" s="9"/>
      <x:c r="I48" s="9"/>
      <x:c r="J48" s="9" t="str">
        <x:v>Yes</x:v>
      </x:c>
      <x:c r="K48" s="9" t="str">
        <x:v>Unknown</x:v>
      </x:c>
      <x:c r="L48" s="9" t="str">
        <x:v>PDF p.4 dated opening; p.13 Signing/Start Date definitions; p.15 §§3.1–3.3; p.40 execution</x:v>
      </x:c>
      <x:c r="M48" s="9" t="str">
        <x:v>Missing, redacted or ambiguous deadline input. Signing Date is established by explicit reference to p.4. Initial duration, renewal wording and notice lead time remain redacted. Start Date cannot be assumed without fulfillment of conditions.</x:v>
      </x:c>
    </x:row>
    <x:row r="49" ht="135" customHeight="1">
      <x:c r="A49" s="9" t="n">
        <x:v>4</x:v>
      </x:c>
      <x:c r="B49" s="9" t="str">
        <x:v>BizzingoInc_20120322_8-K_EX-10.17_7504499_EX-10.17_Endorsement Agreement.pdf</x:v>
      </x:c>
      <x:c r="C49" s="9" t="str">
        <x:v>PDF_reference_inputs_with_review</x:v>
      </x:c>
      <x:c r="D49" s="9" t="str">
        <x:v>Yes</x:v>
      </x:c>
      <x:c r="E49" s="9" t="str">
        <x:v>Unknown</x:v>
      </x:c>
      <x:c r="F49" s="9" t="str">
        <x:v>none</x:v>
      </x:c>
      <x:c r="G49" s="9" t="n">
        <x:v>0</x:v>
      </x:c>
      <x:c r="H49" s="9"/>
      <x:c r="I49" s="9"/>
      <x:c r="J49" s="9" t="str">
        <x:v>Yes</x:v>
      </x:c>
      <x:c r="K49" s="9" t="str">
        <x:v>No fixed first-term cutoff</x:v>
      </x:c>
      <x:c r="L49" s="9" t="str">
        <x:v>PDF p.1 opening; p.2 §2</x:v>
      </x:c>
      <x:c r="M49" s="9" t="str">
        <x:v>Agreement made March 14 but expressly effective March 1.</x:v>
      </x:c>
    </x:row>
    <x:row r="50" ht="135" customHeight="1">
      <x:c r="A50" s="9" t="n">
        <x:v>5</x:v>
      </x:c>
      <x:c r="B50" s="9" t="str">
        <x:v>CoherusBiosciencesInc_20200227_10-K_EX-10.29_12021376_EX-10.29_Development Agreement.pdf</x:v>
      </x:c>
      <x:c r="C50" s="9" t="str">
        <x:v>PDF_reference_inputs_with_review</x:v>
      </x:c>
      <x:c r="D50" s="9" t="str">
        <x:v>Yes</x:v>
      </x:c>
      <x:c r="E50" s="9" t="str">
        <x:v>Unknown</x:v>
      </x:c>
      <x:c r="F50" s="9" t="str">
        <x:v>rolling</x:v>
      </x:c>
      <x:c r="G50" s="9" t="n">
        <x:v>18</x:v>
      </x:c>
      <x:c r="H50" s="9"/>
      <x:c r="I50" s="9"/>
      <x:c r="J50" s="9" t="str">
        <x:v>Yes</x:v>
      </x:c>
      <x:c r="K50" s="9" t="str">
        <x:v>No fixed first-term cutoff</x:v>
      </x:c>
      <x:c r="L50" s="9" t="str">
        <x:v>PDF p.3 opening; p.32 §§15.1–15.2</x:v>
      </x:c>
      <x:c r="M50" s="9" t="str">
        <x:v>First Commercial Sale is not dated in PDF; continuation has no finite renewal periods.</x:v>
      </x:c>
    </x:row>
    <x:row r="51" ht="135" customHeight="1">
      <x:c r="A51" s="9" t="n">
        <x:v>6</x:v>
      </x:c>
      <x:c r="B51" s="9" t="str">
        <x:v>DataCallTechnologies_20060918_SB-2A_EX-10.9_944510_EX-10.9_Content License Agreement.pdf</x:v>
      </x:c>
      <x:c r="C51" s="9" t="str">
        <x:v>PDF_reference_inputs_with_review</x:v>
      </x:c>
      <x:c r="D51" s="9" t="str">
        <x:v>Yes</x:v>
      </x:c>
      <x:c r="E51" s="9" t="str">
        <x:v>2008-04-01</x:v>
      </x:c>
      <x:c r="F51" s="9" t="str">
        <x:v>days_before_end</x:v>
      </x:c>
      <x:c r="G51" s="9" t="n">
        <x:v>60</x:v>
      </x:c>
      <x:c r="H51" s="9"/>
      <x:c r="I51" s="9"/>
      <x:c r="J51" s="9" t="str">
        <x:v>Yes</x:v>
      </x:c>
      <x:c r="K51" s="9" t="str">
        <x:v>Candidate only</x:v>
      </x:c>
      <x:c r="L51" s="9" t="str">
        <x:v>PDF p.3 §7.1; p.4 signature dates</x:v>
      </x:c>
      <x:c r="M51" s="9" t="str">
        <x:v>Appendix 2 §2.2 states 04-01-08. Date order not explicitly resolved. April 1 candidate is unconfirmed; frozen reference omitted this schedule date. Signature dates 23/24 March 2006 appear, but PDF does not say which establishes effective date or whether further renewals occur.</x:v>
      </x:c>
    </x:row>
    <x:row r="52" ht="135" customHeight="1">
      <x:c r="A52" s="9" t="n">
        <x:v>7</x:v>
      </x:c>
      <x:c r="B52" s="9" t="str">
        <x:v>EdietsComInc_20001030_10QSB_EX-10.4_2606646_EX-10.4_Co-Branding Agreement.pdf</x:v>
      </x:c>
      <x:c r="C52" s="9" t="str">
        <x:v>PDF_reference_inputs_with_review</x:v>
      </x:c>
      <x:c r="D52" s="9" t="str">
        <x:v>Yes</x:v>
      </x:c>
      <x:c r="E52" s="9" t="str">
        <x:v>2002-05-22</x:v>
      </x:c>
      <x:c r="F52" s="9" t="str">
        <x:v>days_before_end</x:v>
      </x:c>
      <x:c r="G52" s="9" t="n">
        <x:v>60</x:v>
      </x:c>
      <x:c r="H52" s="9"/>
      <x:c r="I52" s="9"/>
      <x:c r="J52" s="9" t="str">
        <x:v>Yes</x:v>
      </x:c>
      <x:c r="K52" s="9" t="str">
        <x:v>Candidate only</x:v>
      </x:c>
      <x:c r="L52" s="9" t="str">
        <x:v>PDF p.1 opening; p.5 §10.1</x:v>
      </x:c>
      <x:c r="M52" s="9" t="str">
        <x:v>Anniversary endpoint convention not confirmed. Initial anniversary is 2002-05-22; candidate first cutoff 2002-03-23 if anniversary is endpoint. §10.1 notice sentence explicitly says Initial Term, not subsequent terms.</x:v>
      </x:c>
    </x:row>
    <x:row r="53" ht="135" customHeight="1">
      <x:c r="A53" s="9" t="n">
        <x:v>8</x:v>
      </x:c>
      <x:c r="B53" s="9" t="str">
        <x:v>FuseMedicalInc_20190321_10-K_EX-10.43_11575454_EX-10.43_Distributor Agreement.pdf</x:v>
      </x:c>
      <x:c r="C53" s="9" t="str">
        <x:v>PDF_reference_inputs_with_review</x:v>
      </x:c>
      <x:c r="D53" s="9" t="str">
        <x:v>Yes</x:v>
      </x:c>
      <x:c r="E53" s="9" t="str">
        <x:v>Unknown</x:v>
      </x:c>
      <x:c r="F53" s="9" t="str">
        <x:v>rolling</x:v>
      </x:c>
      <x:c r="G53" s="9" t="n">
        <x:v>12</x:v>
      </x:c>
      <x:c r="H53" s="9"/>
      <x:c r="I53" s="9"/>
      <x:c r="J53" s="9" t="str">
        <x:v>Yes</x:v>
      </x:c>
      <x:c r="K53" s="9" t="str">
        <x:v>No fixed first-term cutoff</x:v>
      </x:c>
      <x:c r="L53" s="9" t="str">
        <x:v>PDF p.1 cover; p.2 Commencement Date; p.10 §11.1</x:v>
      </x:c>
      <x:c r="M53" s="9" t="str">
        <x:v>Check whether cover date is operative agreement date; notice can be given during initial year.</x:v>
      </x:c>
    </x:row>
    <x:row r="54" ht="135" customHeight="1">
      <x:c r="A54" s="9" t="n">
        <x:v>9</x:v>
      </x:c>
      <x:c r="B54" s="9" t="str">
        <x:v>GentechHoldingsInc_20190808_1-A_EX1A-6 MAT CTRCT_11776814_EX1A-6 MAT CTRCT_Distributor Agreement.pdf</x:v>
      </x:c>
      <x:c r="C54" s="9" t="str">
        <x:v>PDF_reference_inputs_with_review</x:v>
      </x:c>
      <x:c r="D54" s="9" t="str">
        <x:v>No</x:v>
      </x:c>
      <x:c r="E54" s="9" t="str">
        <x:v>Unknown</x:v>
      </x:c>
      <x:c r="F54" s="9" t="str">
        <x:v>unknown</x:v>
      </x:c>
      <x:c r="G54" s="9" t="n">
        <x:v>0</x:v>
      </x:c>
      <x:c r="H54" s="9"/>
      <x:c r="I54" s="9"/>
      <x:c r="J54" s="9" t="str">
        <x:v>Yes</x:v>
      </x:c>
      <x:c r="K54" s="9" t="str">
        <x:v>Unknown</x:v>
      </x:c>
      <x:c r="L54" s="9" t="str">
        <x:v>PDF p.1 opening; p.8 §7(a)–(b)</x:v>
      </x:c>
      <x:c r="M54" s="9" t="str">
        <x:v>Missing, redacted or ambiguous deadline input. “Within ninety days of the end” does not unambiguously say no later than 90 days before.</x:v>
      </x:c>
    </x:row>
    <x:row r="55" ht="135" customHeight="1">
      <x:c r="A55" s="9" t="n">
        <x:v>10</x:v>
      </x:c>
      <x:c r="B55" s="9" t="str">
        <x:v>GlobalTechnologiesGroupInc_20050928_10KSB_EX-10.9_4148808_EX-10.9_Content License Agreement.pdf</x:v>
      </x:c>
      <x:c r="C55" s="9" t="str">
        <x:v>PDF_reference_inputs_with_review</x:v>
      </x:c>
      <x:c r="D55" s="9" t="str">
        <x:v>Yes</x:v>
      </x:c>
      <x:c r="E55" s="9" t="str">
        <x:v>Unknown</x:v>
      </x:c>
      <x:c r="F55" s="9" t="str">
        <x:v>none</x:v>
      </x:c>
      <x:c r="G55" s="9" t="n">
        <x:v>0</x:v>
      </x:c>
      <x:c r="H55" s="9"/>
      <x:c r="I55" s="9"/>
      <x:c r="J55" s="9" t="str">
        <x:v>Yes</x:v>
      </x:c>
      <x:c r="K55" s="9" t="str">
        <x:v>No fixed first-term cutoff</x:v>
      </x:c>
      <x:c r="L55" s="9" t="str">
        <x:v>PDF p.2 Term and signatures</x:v>
      </x:c>
      <x:c r="M55" s="9" t="str">
        <x:v>Agreement effective on last signature, but Launch date is not shown.</x:v>
      </x:c>
    </x:row>
    <x:row r="56" ht="135" customHeight="1">
      <x:c r="A56" s="9" t="n">
        <x:v>11</x:v>
      </x:c>
      <x:c r="B56" s="9" t="str">
        <x:v>GpaqAcquisitionHoldingsInc_20200123_S-4A_EX-10.6_11951677_EX-10.6_License Agreement.pdf</x:v>
      </x:c>
      <x:c r="C56" s="9" t="str">
        <x:v>PDF_reference_inputs_with_review</x:v>
      </x:c>
      <x:c r="D56" s="9" t="str">
        <x:v>Yes</x:v>
      </x:c>
      <x:c r="E56" s="9" t="str">
        <x:v>2034-12-31</x:v>
      </x:c>
      <x:c r="F56" s="9" t="str">
        <x:v>months_before_end</x:v>
      </x:c>
      <x:c r="G56" s="9" t="n">
        <x:v>6</x:v>
      </x:c>
      <x:c r="H56" s="9"/>
      <x:c r="I56" s="9"/>
      <x:c r="J56" s="9" t="str">
        <x:v>Yes</x:v>
      </x:c>
      <x:c r="K56" s="9" t="str">
        <x:v>Candidate only</x:v>
      </x:c>
      <x:c r="L56" s="9" t="str">
        <x:v>PDF p.1 opening; p.8 §4.1</x:v>
      </x:c>
      <x:c r="M56" s="9" t="str">
        <x:v>Explicit term end. Month subtraction uses day clamping; queue remains human review. Effective Date unknown in PDF, but initial expiration is explicit; later negotiated amendment is a separate alternative after notice.</x:v>
      </x:c>
    </x:row>
    <x:row r="57" ht="135" customHeight="1">
      <x:c r="A57" s="9" t="n">
        <x:v>12</x:v>
      </x:c>
      <x:c r="B57" s="9" t="str">
        <x:v>HfEnterprisesInc_20191223_S-1_EX-10.22_11931299_EX-10.22_Development Agreement.pdf</x:v>
      </x:c>
      <x:c r="C57" s="9" t="str">
        <x:v>PDF_reference_inputs_with_review</x:v>
      </x:c>
      <x:c r="D57" s="9" t="str">
        <x:v>Yes</x:v>
      </x:c>
      <x:c r="E57" s="9" t="str">
        <x:v>2019-03-01</x:v>
      </x:c>
      <x:c r="F57" s="9" t="str">
        <x:v>days_before_end</x:v>
      </x:c>
      <x:c r="G57" s="9" t="n">
        <x:v>30</x:v>
      </x:c>
      <x:c r="H57" s="9"/>
      <x:c r="I57" s="9"/>
      <x:c r="J57" s="9" t="str">
        <x:v>Yes</x:v>
      </x:c>
      <x:c r="K57" s="9" t="str">
        <x:v>Candidate only</x:v>
      </x:c>
      <x:c r="L57" s="9" t="str">
        <x:v>PDF p.1 opening and §2.1</x:v>
      </x:c>
      <x:c r="M57" s="9" t="str">
        <x:v>Anniversary endpoint and monthly rollover interaction unresolved. Both 30-day notice rules are preserved separately. Initial anniversary is 2019-03-01; candidate first cutoff 2019-01-30 if anniversary is endpoint. Keep exact expiry convention and 30-day/monthly-period interaction under review. §2.1 renewal prevention and §2.2.1 early termination each have a 30-day notice.</x:v>
      </x:c>
    </x:row>
    <x:row r="58" ht="135" customHeight="1">
      <x:c r="A58" s="9" t="n">
        <x:v>13</x:v>
      </x:c>
      <x:c r="B58" s="9" t="str">
        <x:v>InmodeLtd_20190729_F-1A_EX-10.9_11743243_EX-10.9_Manufacturing Agreement.pdf</x:v>
      </x:c>
      <x:c r="C58" s="9" t="str">
        <x:v>PDF_reference_inputs_with_review</x:v>
      </x:c>
      <x:c r="D58" s="9" t="str">
        <x:v>No</x:v>
      </x:c>
      <x:c r="E58" s="9" t="str">
        <x:v>Unknown</x:v>
      </x:c>
      <x:c r="F58" s="9" t="str">
        <x:v>unknown</x:v>
      </x:c>
      <x:c r="G58" s="9" t="n">
        <x:v>0</x:v>
      </x:c>
      <x:c r="H58" s="9"/>
      <x:c r="I58" s="9"/>
      <x:c r="J58" s="9" t="str">
        <x:v>Yes</x:v>
      </x:c>
      <x:c r="K58" s="9" t="str">
        <x:v>Unknown</x:v>
      </x:c>
      <x:c r="L58" s="9" t="str">
        <x:v>PDF p.1 opening and §2</x:v>
      </x:c>
      <x:c r="M58" s="9" t="str">
        <x:v>Missing, redacted or ambiguous deadline input. Rendered PDF p.1 confirms missing duration number: “an initial term of year”. Date 1.4.2011 interpreted DD.MM.YYYY; retain review rather than assume initial duration.</x:v>
      </x:c>
    </x:row>
    <x:row r="59" ht="135" customHeight="1">
      <x:c r="A59" s="9" t="n">
        <x:v>14</x:v>
      </x:c>
      <x:c r="B59" s="9" t="str">
        <x:v>KitovPharmaLtd_20190326_20-F_EX-4.15_11584449_EX-4.15_Manufacturing Agreement.pdf</x:v>
      </x:c>
      <x:c r="C59" s="9" t="str">
        <x:v>PDF_reference_inputs_with_review</x:v>
      </x:c>
      <x:c r="D59" s="9" t="str">
        <x:v>No</x:v>
      </x:c>
      <x:c r="E59" s="9" t="str">
        <x:v>Unknown</x:v>
      </x:c>
      <x:c r="F59" s="9" t="str">
        <x:v>unknown</x:v>
      </x:c>
      <x:c r="G59" s="9" t="n">
        <x:v>0</x:v>
      </x:c>
      <x:c r="H59" s="9"/>
      <x:c r="I59" s="9"/>
      <x:c r="J59" s="9" t="str">
        <x:v>Yes</x:v>
      </x:c>
      <x:c r="K59" s="9" t="str">
        <x:v>Unknown</x:v>
      </x:c>
      <x:c r="L59" s="9" t="str">
        <x:v>PDF p.2 §1.13; p.4 §1.36; p.9 §5.1; p.18 signatures</x:v>
      </x:c>
      <x:c r="M59" s="9" t="str">
        <x:v>Missing, redacted or ambiguous deadline input. Material timing redacted; signature dates blank in this copy.</x:v>
      </x:c>
    </x:row>
    <x:row r="60" ht="135" customHeight="1">
      <x:c r="A60" s="9" t="n">
        <x:v>15</x:v>
      </x:c>
      <x:c r="B60" s="9" t="str">
        <x:v>LeadersonlineInc_20000427_S-1A_EX-10.8_4991089_EX-10.8_Co-Branding Agreement.pdf</x:v>
      </x:c>
      <x:c r="C60" s="9" t="str">
        <x:v>PDF_reference_inputs_with_review</x:v>
      </x:c>
      <x:c r="D60" s="9" t="str">
        <x:v>Yes</x:v>
      </x:c>
      <x:c r="E60" s="9" t="str">
        <x:v>2001-06-15</x:v>
      </x:c>
      <x:c r="F60" s="9" t="str">
        <x:v>days_before_end</x:v>
      </x:c>
      <x:c r="G60" s="9" t="n">
        <x:v>90</x:v>
      </x:c>
      <x:c r="H60" s="9"/>
      <x:c r="I60" s="9"/>
      <x:c r="J60" s="9" t="str">
        <x:v>Yes</x:v>
      </x:c>
      <x:c r="K60" s="9" t="str">
        <x:v>Confirmed</x:v>
      </x:c>
      <x:c r="L60" s="9" t="str">
        <x:v>PDF p.1 opening; p.2 §1.20; p.5 §7.4</x:v>
      </x:c>
      <x:c r="M60" s="9" t="str">
        <x:v>Election alone does not extend; VerticalNet may decline.</x:v>
      </x:c>
    </x:row>
    <x:row r="61" ht="135" customHeight="1">
      <x:c r="A61" s="9" t="n">
        <x:v>16</x:v>
      </x:c>
      <x:c r="B61" s="9" t="str">
        <x:v>LegacyEducationAllianceInc_20141110_8-K_EX-10.9_8828866_EX-10.9_Endorsement Agreement.pdf</x:v>
      </x:c>
      <x:c r="C61" s="9" t="str">
        <x:v>PDF_reference_inputs_with_review</x:v>
      </x:c>
      <x:c r="D61" s="9" t="str">
        <x:v>Yes</x:v>
      </x:c>
      <x:c r="E61" s="9" t="str">
        <x:v>Unknown</x:v>
      </x:c>
      <x:c r="F61" s="9" t="str">
        <x:v>none</x:v>
      </x:c>
      <x:c r="G61" s="9" t="n">
        <x:v>0</x:v>
      </x:c>
      <x:c r="H61" s="9"/>
      <x:c r="I61" s="9"/>
      <x:c r="J61" s="9" t="str">
        <x:v>Yes</x:v>
      </x:c>
      <x:c r="K61" s="9" t="str">
        <x:v>No fixed first-term cutoff</x:v>
      </x:c>
      <x:c r="L61" s="9" t="str">
        <x:v>PDF p.1 opening and §1; p.2 license/term; p.8 signatures</x:v>
      </x:c>
      <x:c r="M61" s="9" t="str">
        <x:v>Do not substitute 2013-01-01 Commencement Date for blank execution date.</x:v>
      </x:c>
    </x:row>
    <x:row r="62" ht="135" customHeight="1">
      <x:c r="A62" s="9" t="n">
        <x:v>17</x:v>
      </x:c>
      <x:c r="B62" s="9" t="str">
        <x:v>LegacyEducationAllianceInc_20200330_10-K_EX-10.18_12090678_EX-10.18_Development Agreement.pdf</x:v>
      </x:c>
      <x:c r="C62" s="9" t="str">
        <x:v>PDF_reference_inputs_with_review</x:v>
      </x:c>
      <x:c r="D62" s="9" t="str">
        <x:v>Yes</x:v>
      </x:c>
      <x:c r="E62" s="9" t="str">
        <x:v>2024-12-23</x:v>
      </x:c>
      <x:c r="F62" s="9" t="str">
        <x:v>days_before_end</x:v>
      </x:c>
      <x:c r="G62" s="9" t="n">
        <x:v>90</x:v>
      </x:c>
      <x:c r="H62" s="9"/>
      <x:c r="I62" s="9"/>
      <x:c r="J62" s="9" t="str">
        <x:v>Yes</x:v>
      </x:c>
      <x:c r="K62" s="9" t="str">
        <x:v>Candidate only</x:v>
      </x:c>
      <x:c r="L62" s="9" t="str">
        <x:v>PDF p.1 opening; p.9 §11.1</x:v>
      </x:c>
      <x:c r="M62" s="9" t="str">
        <x:v>Five-year anniversary endpoint convention not confirmed. Initial anniversary is 2024-12-23; candidate first cutoff 2024-09-24 if anniversary is endpoint. Opening displays “12-23-2019 , 2019”.</x:v>
      </x:c>
    </x:row>
    <x:row r="63" ht="135" customHeight="1">
      <x:c r="A63" s="9" t="n">
        <x:v>18</x:v>
      </x:c>
      <x:c r="B63" s="9" t="str">
        <x:v>MidwestEnergyEmissionsCorp_20080604_8-K_EX-10.2_3093976_EX-10.2_Content License Agreement.pdf</x:v>
      </x:c>
      <x:c r="C63" s="9" t="str">
        <x:v>PDF_reference_inputs_with_review</x:v>
      </x:c>
      <x:c r="D63" s="9" t="str">
        <x:v>No</x:v>
      </x:c>
      <x:c r="E63" s="9" t="str">
        <x:v>Unknown</x:v>
      </x:c>
      <x:c r="F63" s="9" t="str">
        <x:v>days_before_end</x:v>
      </x:c>
      <x:c r="G63" s="9" t="n">
        <x:v>90</x:v>
      </x:c>
      <x:c r="H63" s="9"/>
      <x:c r="I63" s="9"/>
      <x:c r="J63" s="9" t="str">
        <x:v>Yes</x:v>
      </x:c>
      <x:c r="K63" s="9" t="str">
        <x:v>Unknown</x:v>
      </x:c>
      <x:c r="L63" s="9" t="str">
        <x:v>PDF p.1 opening; p.4 term provision</x:v>
      </x:c>
      <x:c r="M63" s="9" t="str">
        <x:v>Missing, redacted or ambiguous deadline input. Made-as-of date and bilateral execution trigger are not necessarily identical.</x:v>
      </x:c>
    </x:row>
    <x:row r="64" ht="135" customHeight="1">
      <x:c r="A64" s="9" t="n">
        <x:v>19</x:v>
      </x:c>
      <x:c r="B64" s="9" t="str">
        <x:v>MphaseTechnologiesInc_20030911_10-K_EX-10.15_1560667_EX-10.15_Co-Branding Agreement.pdf</x:v>
      </x:c>
      <x:c r="C64" s="9" t="str">
        <x:v>PDF_reference_inputs_with_review</x:v>
      </x:c>
      <x:c r="D64" s="9" t="str">
        <x:v>Yes</x:v>
      </x:c>
      <x:c r="E64" s="9" t="str">
        <x:v>Unknown</x:v>
      </x:c>
      <x:c r="F64" s="9" t="str">
        <x:v>rolling</x:v>
      </x:c>
      <x:c r="G64" s="9" t="n">
        <x:v>30</x:v>
      </x:c>
      <x:c r="H64" s="9"/>
      <x:c r="I64" s="9"/>
      <x:c r="J64" s="9" t="str">
        <x:v>Yes</x:v>
      </x:c>
      <x:c r="K64" s="9" t="str">
        <x:v>No fixed first-term cutoff</x:v>
      </x:c>
      <x:c r="L64" s="9" t="str">
        <x:v>PDF p.1 opening; p.2 §11</x:v>
      </x:c>
      <x:c r="M64" s="9" t="str">
        <x:v>30 days is rolling termination notice, not a deadline for mPhase renewal request.</x:v>
      </x:c>
    </x:row>
    <x:row r="65" ht="135" customHeight="1">
      <x:c r="A65" s="9" t="n">
        <x:v>20</x:v>
      </x:c>
      <x:c r="B65" s="9" t="str">
        <x:v>MusclepharmCorp_20170208_10-KA_EX-10.38_9893581_EX-10.38_Co-Branding Agreement.pdf</x:v>
      </x:c>
      <x:c r="C65" s="9" t="str">
        <x:v>PDF_reference_inputs_with_review</x:v>
      </x:c>
      <x:c r="D65" s="9" t="str">
        <x:v>Yes</x:v>
      </x:c>
      <x:c r="E65" s="9" t="str">
        <x:v>Unknown</x:v>
      </x:c>
      <x:c r="F65" s="9" t="str">
        <x:v>none</x:v>
      </x:c>
      <x:c r="G65" s="9" t="n">
        <x:v>0</x:v>
      </x:c>
      <x:c r="H65" s="9"/>
      <x:c r="I65" s="9"/>
      <x:c r="J65" s="9" t="str">
        <x:v>Yes</x:v>
      </x:c>
      <x:c r="K65" s="9" t="str">
        <x:v>No fixed first-term cutoff</x:v>
      </x:c>
      <x:c r="L65" s="9" t="str">
        <x:v>PDF p.1 opening; p.2 §1(a)–(c)</x:v>
      </x:c>
      <x:c r="M65" s="9" t="str">
        <x:v>Start predates effective date; sales thresholds require external records.</x:v>
      </x:c>
    </x:row>
    <x:row r="66" ht="135" customHeight="1">
      <x:c r="A66" s="9" t="n">
        <x:v>21</x:v>
      </x:c>
      <x:c r="B66" s="9" t="str">
        <x:v>NeoformaInc_19991202_S-1A_EX-10.26_5224521_EX-10.26_Co-Branding Agreement.pdf</x:v>
      </x:c>
      <x:c r="C66" s="9" t="str">
        <x:v>PDF_reference_inputs_with_review</x:v>
      </x:c>
      <x:c r="D66" s="9" t="str">
        <x:v>Yes</x:v>
      </x:c>
      <x:c r="E66" s="9" t="str">
        <x:v>2001-11-18</x:v>
      </x:c>
      <x:c r="F66" s="9" t="str">
        <x:v>days_before_end</x:v>
      </x:c>
      <x:c r="G66" s="9" t="n">
        <x:v>30</x:v>
      </x:c>
      <x:c r="H66" s="9"/>
      <x:c r="I66" s="9"/>
      <x:c r="J66" s="9" t="str">
        <x:v>No</x:v>
      </x:c>
      <x:c r="K66" s="9" t="str">
        <x:v>Confirmed</x:v>
      </x:c>
      <x:c r="L66" s="9" t="str">
        <x:v>PDF p.1 opening and §1.9; p.9 §11.1</x:v>
      </x:c>
      <x:c r="M66" s="9" t="str">
        <x:v>Clause calls the opt-out a Termination Notice but it prevents renewal.</x:v>
      </x:c>
    </x:row>
    <x:row r="67" ht="135" customHeight="1">
      <x:c r="A67" s="9" t="n">
        <x:v>22</x:v>
      </x:c>
      <x:c r="B67" s="9" t="str">
        <x:v>PacificapEntertainmentHoldingsInc_20051115_8-KA_EX-1.01_4300894_EX-1.01_Content License Agreement.pdf</x:v>
      </x:c>
      <x:c r="C67" s="9" t="str">
        <x:v>PDF_reference_inputs_with_review</x:v>
      </x:c>
      <x:c r="D67" s="9" t="str">
        <x:v>No</x:v>
      </x:c>
      <x:c r="E67" s="9" t="str">
        <x:v>Unknown</x:v>
      </x:c>
      <x:c r="F67" s="9" t="str">
        <x:v>days_before_end</x:v>
      </x:c>
      <x:c r="G67" s="9" t="n">
        <x:v>60</x:v>
      </x:c>
      <x:c r="H67" s="9"/>
      <x:c r="I67" s="9"/>
      <x:c r="J67" s="9" t="str">
        <x:v>Yes</x:v>
      </x:c>
      <x:c r="K67" s="9" t="str">
        <x:v>Unknown</x:v>
      </x:c>
      <x:c r="L67" s="9" t="str">
        <x:v>PDF p.1 opening; p.3 Initial Term and Renewals; p.5 signatures</x:v>
      </x:c>
      <x:c r="M67" s="9" t="str">
        <x:v>Missing, redacted or ambiguous deadline input. Neither last signature nor first public availability is established.</x:v>
      </x:c>
    </x:row>
    <x:row r="68" ht="135" customHeight="1">
      <x:c r="A68" s="9" t="n">
        <x:v>23</x:v>
      </x:c>
      <x:c r="B68" s="9" t="str">
        <x:v>PapaJohnsInternationalInc_20190617_8-K_EX-10.1_11707365_EX-10.1_Endorsement Agreement.pdf</x:v>
      </x:c>
      <x:c r="C68" s="9" t="str">
        <x:v>PDF_reference_inputs_with_review</x:v>
      </x:c>
      <x:c r="D68" s="9" t="str">
        <x:v>Yes</x:v>
      </x:c>
      <x:c r="E68" s="9" t="str">
        <x:v>Unknown</x:v>
      </x:c>
      <x:c r="F68" s="9" t="str">
        <x:v>none</x:v>
      </x:c>
      <x:c r="G68" s="9" t="n">
        <x:v>0</x:v>
      </x:c>
      <x:c r="H68" s="9"/>
      <x:c r="I68" s="9"/>
      <x:c r="J68" s="9" t="str">
        <x:v>No</x:v>
      </x:c>
      <x:c r="K68" s="9" t="str">
        <x:v>No fixed first-term cutoff</x:v>
      </x:c>
      <x:c r="L68" s="9" t="str">
        <x:v>PDF p.1 opening; p.2 §2</x:v>
      </x:c>
      <x:c r="M68" s="9" t="str">
        <x:v>Do not treat insurance policy notice as contract renewal notice.</x:v>
      </x:c>
    </x:row>
    <x:row r="69" ht="135" customHeight="1">
      <x:c r="A69" s="9" t="n">
        <x:v>24</x:v>
      </x:c>
      <x:c r="B69" s="9" t="str">
        <x:v>ParatekPharmaceuticalsInc_20170505_10-KA_EX-10.29_10323872_EX-10.29_Outsourcing Agreement.pdf</x:v>
      </x:c>
      <x:c r="C69" s="9" t="str">
        <x:v>PDF_reference_inputs_with_review</x:v>
      </x:c>
      <x:c r="D69" s="9" t="str">
        <x:v>No</x:v>
      </x:c>
      <x:c r="E69" s="9" t="str">
        <x:v>Unknown</x:v>
      </x:c>
      <x:c r="F69" s="9" t="str">
        <x:v>unknown</x:v>
      </x:c>
      <x:c r="G69" s="9" t="n">
        <x:v>0</x:v>
      </x:c>
      <x:c r="H69" s="9"/>
      <x:c r="I69" s="9"/>
      <x:c r="J69" s="9" t="str">
        <x:v>Yes</x:v>
      </x:c>
      <x:c r="K69" s="9" t="str">
        <x:v>Unknown</x:v>
      </x:c>
      <x:c r="L69" s="9" t="str">
        <x:v>PDF p.7 opening; p.12 §2.1; p.38 §18.1</x:v>
      </x:c>
      <x:c r="M69" s="9" t="str">
        <x:v>Missing, redacted or ambiguous deadline input. Follow-on negotiations and automatic bridge coexist; material dates are redacted.</x:v>
      </x:c>
    </x:row>
    <x:row r="70" ht="135" customHeight="1">
      <x:c r="A70" s="9" t="n">
        <x:v>25</x:v>
      </x:c>
      <x:c r="B70" s="9" t="str">
        <x:v>PfHospitalityGroupInc_20150923_10-12G_EX-10.1_9266710_EX-10.1_Franchise Agreement1.pdf</x:v>
      </x:c>
      <x:c r="C70" s="9" t="str">
        <x:v>PDF_reference_inputs_with_review</x:v>
      </x:c>
      <x:c r="D70" s="9" t="str">
        <x:v>No</x:v>
      </x:c>
      <x:c r="E70" s="9" t="str">
        <x:v>Unknown</x:v>
      </x:c>
      <x:c r="F70" s="9" t="str">
        <x:v>month_range</x:v>
      </x:c>
      <x:c r="G70" s="9" t="n">
        <x:v>0</x:v>
      </x:c>
      <x:c r="H70" s="9" t="n">
        <x:v>12</x:v>
      </x:c>
      <x:c r="I70" s="9" t="n">
        <x:v>9</x:v>
      </x:c>
      <x:c r="J70" s="9" t="str">
        <x:v>Yes</x:v>
      </x:c>
      <x:c r="K70" s="9" t="str">
        <x:v>Unknown</x:v>
      </x:c>
      <x:c r="L70" s="9" t="str">
        <x:v>PDF p.1 cover; p.3 opening; p.6 §§2.1–2.2</x:v>
      </x:c>
      <x:c r="M70" s="9" t="str">
        <x:v>Missing, redacted or ambiguous deadline input. Form has no filled Agreement Date; successor franchise requires new agreement and conditions.</x:v>
      </x:c>
    </x:row>
    <x:row r="71" ht="135" customHeight="1">
      <x:c r="A71" s="9" t="n">
        <x:v>26</x:v>
      </x:c>
      <x:c r="B71" s="9" t="str">
        <x:v>RaeSystemsInc_20001114_10-Q_EX-10.57_2631790_EX-10.57_Co-Branding Agreement.pdf</x:v>
      </x:c>
      <x:c r="C71" s="9" t="str">
        <x:v>PDF_reference_inputs_with_review</x:v>
      </x:c>
      <x:c r="D71" s="9" t="str">
        <x:v>Yes</x:v>
      </x:c>
      <x:c r="E71" s="9" t="str">
        <x:v>Unknown</x:v>
      </x:c>
      <x:c r="F71" s="9" t="str">
        <x:v>rolling</x:v>
      </x:c>
      <x:c r="G71" s="9" t="n">
        <x:v>60</x:v>
      </x:c>
      <x:c r="H71" s="9"/>
      <x:c r="I71" s="9"/>
      <x:c r="J71" s="9" t="str">
        <x:v>Yes</x:v>
      </x:c>
      <x:c r="K71" s="9" t="str">
        <x:v>No fixed first-term cutoff</x:v>
      </x:c>
      <x:c r="L71" s="9" t="str">
        <x:v>PDF p.1 opening; p.4 §§8.1–8.2</x:v>
      </x:c>
      <x:c r="M71" s="9" t="str">
        <x:v>§8.2 expressly allows NETTAXI termination at any time on 60 days’ written notice; §8.3 addresses cause. Neither is a fixed non-renewal deadline.</x:v>
      </x:c>
    </x:row>
    <x:row r="72" ht="135" customHeight="1">
      <x:c r="A72" s="9" t="n">
        <x:v>27</x:v>
      </x:c>
      <x:c r="B72" s="9" t="str">
        <x:v>RandWorldwideInc_20010402_8-KA_EX-10.2_2102464_EX-10.2_Co-Branding Agreement.pdf</x:v>
      </x:c>
      <x:c r="C72" s="9" t="str">
        <x:v>PDF_reference_inputs_with_review</x:v>
      </x:c>
      <x:c r="D72" s="9" t="str">
        <x:v>No</x:v>
      </x:c>
      <x:c r="E72" s="9" t="str">
        <x:v>Unknown</x:v>
      </x:c>
      <x:c r="F72" s="9" t="str">
        <x:v>months_before_end</x:v>
      </x:c>
      <x:c r="G72" s="9" t="n">
        <x:v>6</x:v>
      </x:c>
      <x:c r="H72" s="9"/>
      <x:c r="I72" s="9"/>
      <x:c r="J72" s="9" t="str">
        <x:v>Yes</x:v>
      </x:c>
      <x:c r="K72" s="9" t="str">
        <x:v>Unknown</x:v>
      </x:c>
      <x:c r="L72" s="9" t="str">
        <x:v>PDF p.1 opening; p.8 §10.1</x:v>
      </x:c>
      <x:c r="M72" s="9" t="str">
        <x:v>Missing, redacted or ambiguous deadline input. Launch date absent; §10.3 permits separate termination after failed revenue negotiations.</x:v>
      </x:c>
    </x:row>
    <x:row r="73" ht="135" customHeight="1">
      <x:c r="A73" s="9" t="n">
        <x:v>28</x:v>
      </x:c>
      <x:c r="B73" s="9" t="str">
        <x:v>RemarkHoldingsInc_20081114_10-Q_EX-10.24_2895649_EX-10.24_Content License Agreement.pdf</x:v>
      </x:c>
      <x:c r="C73" s="9" t="str">
        <x:v>PDF_reference_inputs_with_review</x:v>
      </x:c>
      <x:c r="D73" s="9" t="str">
        <x:v>No</x:v>
      </x:c>
      <x:c r="E73" s="9" t="str">
        <x:v>Unknown</x:v>
      </x:c>
      <x:c r="F73" s="9" t="str">
        <x:v>unknown</x:v>
      </x:c>
      <x:c r="G73" s="9" t="n">
        <x:v>0</x:v>
      </x:c>
      <x:c r="H73" s="9"/>
      <x:c r="I73" s="9"/>
      <x:c r="J73" s="9" t="str">
        <x:v>Yes</x:v>
      </x:c>
      <x:c r="K73" s="9" t="str">
        <x:v>Unknown</x:v>
      </x:c>
      <x:c r="L73" s="9" t="str">
        <x:v>PDF p.1 opening; p.2 §1.11; p.8 §2.3; p.12 §6.1</x:v>
      </x:c>
      <x:c r="M73" s="9" t="str">
        <x:v>Missing, redacted or ambiguous deadline input. Delivery Period ends December 30, 2009. Specific Translated Content renewal right is distinct from agreement-wide renewal; its duration is redacted.</x:v>
      </x:c>
    </x:row>
    <x:row r="74" ht="135" customHeight="1">
      <x:c r="A74" s="9" t="n">
        <x:v>29</x:v>
      </x:c>
      <x:c r="B74" s="9" t="str">
        <x:v>RitterPharmaceuticalsInc_20200313_S-4A_EX-10.54_12055220_EX-10.54_Development Agreement.pdf</x:v>
      </x:c>
      <x:c r="C74" s="9" t="str">
        <x:v>PDF_reference_inputs_with_review</x:v>
      </x:c>
      <x:c r="D74" s="9" t="str">
        <x:v>Yes</x:v>
      </x:c>
      <x:c r="E74" s="9" t="str">
        <x:v>2021-05-01</x:v>
      </x:c>
      <x:c r="F74" s="9" t="str">
        <x:v>months_before_end</x:v>
      </x:c>
      <x:c r="G74" s="9" t="n">
        <x:v>6</x:v>
      </x:c>
      <x:c r="H74" s="9"/>
      <x:c r="I74" s="9"/>
      <x:c r="J74" s="9" t="str">
        <x:v>Yes</x:v>
      </x:c>
      <x:c r="K74" s="9" t="str">
        <x:v>Candidate only</x:v>
      </x:c>
      <x:c r="L74" s="9" t="str">
        <x:v>PDF p.1 opening; p.2 §1.9; p.3 §2.2</x:v>
      </x:c>
      <x:c r="M74" s="9" t="str">
        <x:v>Reference anniversary candidate differs from model day-before endpoint. No definitive endpoint chosen. Initial anniversary is 2021-05-01; candidate first cutoff 2020-11-01 if anniversary is endpoint. Endpoint convention should be fixed before calendar scoring.</x:v>
      </x:c>
    </x:row>
    <x:row r="75" ht="135" customHeight="1">
      <x:c r="A75" s="9" t="n">
        <x:v>30</x:v>
      </x:c>
      <x:c r="B75" s="9" t="str">
        <x:v>ScansourceInc_20190822_10-K_EX-10.38_11793958_EX-10.38_Distributor Agreement1.pdf</x:v>
      </x:c>
      <x:c r="C75" s="9" t="str">
        <x:v>PDF_reference_inputs_with_review</x:v>
      </x:c>
      <x:c r="D75" s="9" t="str">
        <x:v>Yes</x:v>
      </x:c>
      <x:c r="E75" s="9" t="str">
        <x:v>2009-01-22</x:v>
      </x:c>
      <x:c r="F75" s="9" t="str">
        <x:v>days_before_end</x:v>
      </x:c>
      <x:c r="G75" s="9" t="n">
        <x:v>30</x:v>
      </x:c>
      <x:c r="H75" s="9"/>
      <x:c r="I75" s="9"/>
      <x:c r="J75" s="9" t="str">
        <x:v>Yes</x:v>
      </x:c>
      <x:c r="K75" s="9" t="str">
        <x:v>Candidate only</x:v>
      </x:c>
      <x:c r="L75" s="9" t="str">
        <x:v>PDF p.1 opening; p.9 §18.1</x:v>
      </x:c>
      <x:c r="M75" s="9" t="str">
        <x:v>Anniversary endpoint convention not confirmed. Signature dates January 19 and 22, 2007 establish effective date. Initial candidate cutoff uses anniversary endpoint; do not treat later renewals as confirmed. Cisco may extend unilaterally, or parties by written agreement.</x:v>
      </x:c>
    </x:row>
    <x:row r="76" ht="135" customHeight="1">
      <x:c r="A76" s="9" t="n">
        <x:v>31</x:v>
      </x:c>
      <x:c r="B76" s="9" t="str">
        <x:v>SigaTechnologiesInc_20190603_8-K_EX-10.1_11695818_EX-10.1_Promotion Agreement.pdf</x:v>
      </x:c>
      <x:c r="C76" s="9" t="str">
        <x:v>PDF_reference_inputs_with_review</x:v>
      </x:c>
      <x:c r="D76" s="9" t="str">
        <x:v>Yes</x:v>
      </x:c>
      <x:c r="E76" s="9" t="str">
        <x:v>2024-05-31</x:v>
      </x:c>
      <x:c r="F76" s="9" t="str">
        <x:v>days_before_end</x:v>
      </x:c>
      <x:c r="G76" s="9" t="n">
        <x:v>90</x:v>
      </x:c>
      <x:c r="H76" s="9"/>
      <x:c r="I76" s="9"/>
      <x:c r="J76" s="9" t="str">
        <x:v>No</x:v>
      </x:c>
      <x:c r="K76" s="9" t="str">
        <x:v>Confirmed</x:v>
      </x:c>
      <x:c r="L76" s="9" t="str">
        <x:v>PDF p.5 opening; p.39 §11.1</x:v>
      </x:c>
      <x:c r="M76" s="9" t="str">
        <x:v>Earlier termination routes are separate.</x:v>
      </x:c>
    </x:row>
    <x:row r="77" ht="135" customHeight="1">
      <x:c r="A77" s="9" t="n">
        <x:v>32</x:v>
      </x:c>
      <x:c r="B77" s="9" t="str">
        <x:v>StaarSurgicalCompany_20180801_10-Q_EX-10.37_11289449_EX-10.37_Distributor Agreement.pdf</x:v>
      </x:c>
      <x:c r="C77" s="9" t="str">
        <x:v>PDF_reference_inputs_with_review</x:v>
      </x:c>
      <x:c r="D77" s="9" t="str">
        <x:v>Yes</x:v>
      </x:c>
      <x:c r="E77" s="9" t="str">
        <x:v>Unknown</x:v>
      </x:c>
      <x:c r="F77" s="9" t="str">
        <x:v>none</x:v>
      </x:c>
      <x:c r="G77" s="9" t="n">
        <x:v>0</x:v>
      </x:c>
      <x:c r="H77" s="9"/>
      <x:c r="I77" s="9"/>
      <x:c r="J77" s="9" t="str">
        <x:v>Yes</x:v>
      </x:c>
      <x:c r="K77" s="9" t="str">
        <x:v>No fixed first-term cutoff</x:v>
      </x:c>
      <x:c r="L77" s="9" t="str">
        <x:v>PDF p.1 opening; p.3 §3</x:v>
      </x:c>
      <x:c r="M77" s="9" t="str">
        <x:v>The execution and scheduled expiration dates are both blank.</x:v>
      </x:c>
    </x:row>
    <x:row r="78" ht="135" customHeight="1">
      <x:c r="A78" s="9" t="n">
        <x:v>33</x:v>
      </x:c>
      <x:c r="B78" s="9" t="str">
        <x:v>SteelVaultCorp_20081224_10-K_EX-10.16_3074935_EX-10.16_Affiliate Agreement.pdf</x:v>
      </x:c>
      <x:c r="C78" s="9" t="str">
        <x:v>PDF_reference_inputs_with_review</x:v>
      </x:c>
      <x:c r="D78" s="9" t="str">
        <x:v>Yes</x:v>
      </x:c>
      <x:c r="E78" s="9" t="str">
        <x:v>Unknown</x:v>
      </x:c>
      <x:c r="F78" s="9" t="str">
        <x:v>none</x:v>
      </x:c>
      <x:c r="G78" s="9" t="n">
        <x:v>0</x:v>
      </x:c>
      <x:c r="H78" s="9"/>
      <x:c r="I78" s="9"/>
      <x:c r="J78" s="9" t="str">
        <x:v>Yes</x:v>
      </x:c>
      <x:c r="K78" s="9" t="str">
        <x:v>No fixed first-term cutoff</x:v>
      </x:c>
      <x:c r="L78" s="9" t="str">
        <x:v>PDF p.1 opening; p.2 §7.1</x:v>
      </x:c>
      <x:c r="M78" s="9" t="str">
        <x:v>A superseding agreement is separate from an opt-out notice.</x:v>
      </x:c>
    </x:row>
    <x:row r="79" ht="135" customHeight="1">
      <x:c r="A79" s="9" t="n">
        <x:v>34</x:v>
      </x:c>
      <x:c r="B79" s="9" t="str">
        <x:v>TodosMedicalLtd_20190328_20-F_EX-4.10_11587157_EX-4.10_Marketing Agreement_ Reseller Agreement.pdf</x:v>
      </x:c>
      <x:c r="C79" s="9" t="str">
        <x:v>PDF_reference_inputs_with_review</x:v>
      </x:c>
      <x:c r="D79" s="9" t="str">
        <x:v>No</x:v>
      </x:c>
      <x:c r="E79" s="9" t="str">
        <x:v>Unknown</x:v>
      </x:c>
      <x:c r="F79" s="9" t="str">
        <x:v>days_before_end</x:v>
      </x:c>
      <x:c r="G79" s="9" t="n">
        <x:v>60</x:v>
      </x:c>
      <x:c r="H79" s="9"/>
      <x:c r="I79" s="9"/>
      <x:c r="J79" s="9" t="str">
        <x:v>Yes</x:v>
      </x:c>
      <x:c r="K79" s="9" t="str">
        <x:v>Unknown</x:v>
      </x:c>
      <x:c r="L79" s="9" t="str">
        <x:v>PDF p.1 opening; p.8 §11.1</x:v>
      </x:c>
      <x:c r="M79" s="9" t="str">
        <x:v>Missing, redacted or ambiguous deadline input. First renewal depends on milestone proof; initial-term end depends on first purchase order.</x:v>
      </x:c>
    </x:row>
    <x:row r="80" ht="135" customHeight="1">
      <x:c r="A80" s="9" t="n">
        <x:v>35</x:v>
      </x:c>
      <x:c r="B80" s="9" t="str">
        <x:v>TubeMediaCorp_20060310_8-K_EX-10.1_513921_EX-10.1_Affiliate Agreement.pdf</x:v>
      </x:c>
      <x:c r="C80" s="9" t="str">
        <x:v>PDF_reference_inputs_with_review</x:v>
      </x:c>
      <x:c r="D80" s="9" t="str">
        <x:v>Yes</x:v>
      </x:c>
      <x:c r="E80" s="9" t="str">
        <x:v>2011-03-31</x:v>
      </x:c>
      <x:c r="F80" s="9" t="str">
        <x:v>months_before_end</x:v>
      </x:c>
      <x:c r="G80" s="9" t="n">
        <x:v>6</x:v>
      </x:c>
      <x:c r="H80" s="9"/>
      <x:c r="I80" s="9"/>
      <x:c r="J80" s="9" t="str">
        <x:v>Yes</x:v>
      </x:c>
      <x:c r="K80" s="9" t="str">
        <x:v>Candidate only</x:v>
      </x:c>
      <x:c r="L80" s="9" t="str">
        <x:v>PDF p.1 opening; pp.2–3 §2(a)–(c)</x:v>
      </x:c>
      <x:c r="M80" s="9" t="str">
        <x:v>Month subtraction convention applied for demonstration; reference marks month-end cutoff provisional. Only one automatic Renewal Term; further renewal subject to negotiation.</x:v>
      </x:c>
    </x:row>
    <x:row r="81" ht="135" customHeight="1">
      <x:c r="A81" s="9" t="n">
        <x:v>36</x:v>
      </x:c>
      <x:c r="B81" s="9" t="str">
        <x:v>UsioInc_20040428_SB-2_EX-10.11_1723988_EX-10.11_Affiliate Agreement 2.pdf</x:v>
      </x:c>
      <x:c r="C81" s="9" t="str">
        <x:v>PDF_reference_inputs_with_review</x:v>
      </x:c>
      <x:c r="D81" s="9" t="str">
        <x:v>No</x:v>
      </x:c>
      <x:c r="E81" s="9" t="str">
        <x:v>Unknown</x:v>
      </x:c>
      <x:c r="F81" s="9" t="str">
        <x:v>days_before_end</x:v>
      </x:c>
      <x:c r="G81" s="9" t="n">
        <x:v>30</x:v>
      </x:c>
      <x:c r="H81" s="9"/>
      <x:c r="I81" s="9"/>
      <x:c r="J81" s="9" t="str">
        <x:v>Yes</x:v>
      </x:c>
      <x:c r="K81" s="9" t="str">
        <x:v>Unknown</x:v>
      </x:c>
      <x:c r="L81" s="9" t="str">
        <x:v>PDF p.4 §5.01; p.6 execution blanks</x:v>
      </x:c>
      <x:c r="M81" s="9" t="str">
        <x:v>Missing, redacted or ambiguous deadline input. Initial length conditional and start date blank.</x:v>
      </x:c>
    </x:row>
    <x:row r="82" ht="135" customHeight="1">
      <x:c r="A82" s="9" t="n">
        <x:v>37</x:v>
      </x:c>
      <x:c r="B82" s="9" t="str">
        <x:v>VertexEnergyInc_20200113_8-K_EX-10.1_11943624_EX-10.1_Marketing Agreement.pdf</x:v>
      </x:c>
      <x:c r="C82" s="9" t="str">
        <x:v>PDF_reference_inputs_with_review</x:v>
      </x:c>
      <x:c r="D82" s="9" t="str">
        <x:v>No</x:v>
      </x:c>
      <x:c r="E82" s="9" t="str">
        <x:v>Unknown</x:v>
      </x:c>
      <x:c r="F82" s="9" t="str">
        <x:v>unknown</x:v>
      </x:c>
      <x:c r="G82" s="9" t="n">
        <x:v>0</x:v>
      </x:c>
      <x:c r="H82" s="9"/>
      <x:c r="I82" s="9"/>
      <x:c r="J82" s="9" t="str">
        <x:v>Yes</x:v>
      </x:c>
      <x:c r="K82" s="9" t="str">
        <x:v>Unknown</x:v>
      </x:c>
      <x:c r="L82" s="9" t="str">
        <x:v>PDF p.2 Effective Date definition; p.8 §§5.1–5.2; p.15 signatures</x:v>
      </x:c>
      <x:c r="M82" s="9" t="str">
        <x:v>Missing, redacted or ambiguous deadline input. §5.2 literally omits “days” after 120; seek adjudication before exact-period scoring.</x:v>
      </x:c>
    </x:row>
    <x:row r="83" ht="135" customHeight="1">
      <x:c r="A83" s="9" t="n">
        <x:v>38</x:v>
      </x:c>
      <x:c r="B83" s="9" t="str">
        <x:v>VitalibisInc_20180316_8-K_EX-10.2_11100168_EX-10.2_Hosting Agreement.pdf</x:v>
      </x:c>
      <x:c r="C83" s="9" t="str">
        <x:v>PDF_reference_inputs_with_review</x:v>
      </x:c>
      <x:c r="D83" s="9" t="str">
        <x:v>Yes</x:v>
      </x:c>
      <x:c r="E83" s="9" t="str">
        <x:v>2019-03-14</x:v>
      </x:c>
      <x:c r="F83" s="9" t="str">
        <x:v>days_before_end</x:v>
      </x:c>
      <x:c r="G83" s="9" t="n">
        <x:v>180</x:v>
      </x:c>
      <x:c r="H83" s="9"/>
      <x:c r="I83" s="9"/>
      <x:c r="J83" s="9" t="str">
        <x:v>Yes</x:v>
      </x:c>
      <x:c r="K83" s="9" t="str">
        <x:v>Candidate only</x:v>
      </x:c>
      <x:c r="L83" s="9" t="str">
        <x:v>PDF p.5 §10.1; p.8 §11.16 and signature dates</x:v>
      </x:c>
      <x:c r="M83" s="9" t="str">
        <x:v>Initial endpoint convention and separate rolling notice require review. Master §11.16 establishes later signature 2018-03-14, although SOW recites March 7. Initial anniversary 2019-03-14 gives candidate cutoff 2018-09-15; verify endpoint convention.</x:v>
      </x:c>
    </x:row>
    <x:row r="84" ht="135" customHeight="1">
      <x:c r="A84" s="9" t="n">
        <x:v>39</x:v>
      </x:c>
      <x:c r="B84" s="9" t="str">
        <x:v>WaterNowInc_20191120_10-Q_EX-10.12_11900227_EX-10.12_Distributor Agreement.pdf</x:v>
      </x:c>
      <x:c r="C84" s="9" t="str">
        <x:v>PDF_reference_inputs_with_review</x:v>
      </x:c>
      <x:c r="D84" s="9" t="str">
        <x:v>Yes</x:v>
      </x:c>
      <x:c r="E84" s="9" t="str">
        <x:v>2024-11-12</x:v>
      </x:c>
      <x:c r="F84" s="9" t="str">
        <x:v>days_before_end</x:v>
      </x:c>
      <x:c r="G84" s="9" t="n">
        <x:v>120</x:v>
      </x:c>
      <x:c r="H84" s="9"/>
      <x:c r="I84" s="9"/>
      <x:c r="J84" s="9" t="str">
        <x:v>No</x:v>
      </x:c>
      <x:c r="K84" s="9" t="str">
        <x:v>Confirmed</x:v>
      </x:c>
      <x:c r="L84" s="9" t="str">
        <x:v>PDF p.1 opening; p.10 §10.1</x:v>
      </x:c>
      <x:c r="M84" s="9" t="str">
        <x:v>Notice prevents otherwise automatic renewal.</x:v>
      </x:c>
    </x:row>
    <x:row r="85" ht="135" customHeight="1">
      <x:c r="A85" s="9" t="n">
        <x:v>40</x:v>
      </x:c>
      <x:c r="B85" s="9" t="str">
        <x:v>XinhuaSportsEntertainmentLtd_20070221_F-1_EX-99.4_645553_EX-99.4_Content License Agreement.pdf</x:v>
      </x:c>
      <x:c r="C85" s="9" t="str">
        <x:v>PDF_reference_inputs_with_review</x:v>
      </x:c>
      <x:c r="D85" s="9" t="str">
        <x:v>Yes</x:v>
      </x:c>
      <x:c r="E85" s="9" t="str">
        <x:v>2020-05-18</x:v>
      </x:c>
      <x:c r="F85" s="9" t="str">
        <x:v>days_before_end</x:v>
      </x:c>
      <x:c r="G85" s="9" t="n">
        <x:v>0</x:v>
      </x:c>
      <x:c r="H85" s="9"/>
      <x:c r="I85" s="9"/>
      <x:c r="J85" s="9" t="str">
        <x:v>Yes</x:v>
      </x:c>
      <x:c r="K85" s="9" t="str">
        <x:v>Candidate only</x:v>
      </x:c>
      <x:c r="L85" s="9" t="str">
        <x:v>PDF p.1 heading/opening; p.2 definition; p.5 §§7.1–7.2</x:v>
      </x:c>
      <x:c r="M85" s="9" t="str">
        <x:v>At-expiry election depends on anniversary endpoint and mutual consideration. Defined Effective Date 2000-05-18 precedes signing. Twenty-year anniversary is 2020-05-18; notice is at expiry, with consideration still to be agreed.</x:v>
      </x:c>
    </x:row>
    <x:row r="88" ht="60" customHeight="1">
      <x:c r="A88" s="8" t="str">
        <x:v>Provenance</x:v>
      </x:c>
      <x:c r="B88" s="8" t="str">
        <x:v>Identifier</x:v>
      </x:c>
    </x:row>
    <x:row r="89" ht="60" customHeight="1">
      <x:c r="A89" s="8" t="str">
        <x:v>Frozen prediction SHA-256</x:v>
      </x:c>
      <x:c r="B89" s="8" t="str">
        <x:v>b6d8f609f5d9b756f8036b6c929111b2f24c3243a376ceece030931e76d11dfe</x:v>
      </x:c>
    </x:row>
    <x:row r="90" ht="60" customHeight="1">
      <x:c r="A90" s="8" t="str">
        <x:v>Frozen reference SHA-256</x:v>
      </x:c>
      <x:c r="B90" s="8" t="str">
        <x:v>fef9fbf14c835aaf691074176de578ebc2e4cb99cb86136accbda90865b8be8e</x:v>
      </x:c>
    </x:row>
    <x:row r="91" ht="60" customHeight="1">
      <x:c r="A91" s="8" t="str">
        <x:v>Frozen prompt SHA-256</x:v>
      </x:c>
      <x:c r="B91" s="8" t="str">
        <x:v>e7b8fcda5b87b0f59e163326df76672f905481e3f2bd837e9752102acfac9292</x:v>
      </x:c>
    </x:row>
    <x:row r="92" ht="60" customHeight="1">
      <x:c r="A92" s="8" t="str">
        <x:v>Model</x:v>
      </x:c>
      <x:c r="B92" s="8" t="str">
        <x:v>anthropic/claude-sonnet-4.6</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2.220001220703125" hidden="0" customWidth="1"/>
    <x:col min="2" max="2" width="13.329999923706055" hidden="0" customWidth="1"/>
    <x:col min="3" max="3" width="29.440000534057617" hidden="0" customWidth="1"/>
    <x:col min="4" max="4" width="29.440000534057617" hidden="0" customWidth="1"/>
    <x:col min="5" max="5" width="13.329999923706055" hidden="0" customWidth="1"/>
    <x:col min="6" max="6" width="13.329999923706055" hidden="0" customWidth="1"/>
    <x:col min="7" max="7" width="8.329999923706055" hidden="0" customWidth="1"/>
  </x:cols>
  <x:sheetData>
    <x:row r="1" ht="30" customHeight="1">
      <x:c r="A1" s="1" t="str">
        <x:v>Alert and calendar checks</x:v>
      </x:c>
      <x:c r="B1" s="1"/>
      <x:c r="C1" s="1"/>
      <x:c r="D1" s="1"/>
      <x:c r="E1" s="1"/>
      <x:c r="F1" s="1"/>
      <x:c r="G1" s="1"/>
    </x:row>
    <x:row r="2" ht="25" customHeight="1">
      <x:c r="A2" s="2" t="str">
        <x:v>Fixed historical dates test alert thresholds. Bounded-window and leap-year rows use synthetic inputs, separate from contract accuracy.</x:v>
      </x:c>
      <x:c r="B2" s="2"/>
      <x:c r="C2" s="2"/>
      <x:c r="D2" s="2"/>
      <x:c r="E2" s="2"/>
      <x:c r="F2" s="2"/>
      <x:c r="G2" s="2"/>
    </x:row>
    <x:row r="5" ht="45" customHeight="1">
      <x:c r="A5" s="6" t="str">
        <x:v>Check</x:v>
      </x:c>
      <x:c r="B5" s="6" t="str">
        <x:v>As-of date</x:v>
      </x:c>
      <x:c r="C5" s="6" t="str">
        <x:v>Expected alert</x:v>
      </x:c>
      <x:c r="D5" s="6" t="str">
        <x:v>Actual alert</x:v>
      </x:c>
      <x:c r="E5" s="6" t="str">
        <x:v>Expected cutoff</x:v>
      </x:c>
      <x:c r="F5" s="6" t="str">
        <x:v>Actual cutoff</x:v>
      </x:c>
      <x:c r="G5" s="6" t="str">
        <x:v>Result</x:v>
      </x:c>
    </x:row>
    <x:row r="6" ht="65" customHeight="1">
      <x:c r="A6" s="9" t="str">
        <x:v>31 days before cutoff</x:v>
      </x:c>
      <x:c r="B6" s="9" t="str">
        <x:v>2001-09-18</x:v>
      </x:c>
      <x:c r="C6" s="9" t="str">
        <x:v>upcoming</x:v>
      </x:c>
      <x:c r="D6" s="9" t="str">
        <x:v>upcoming</x:v>
      </x:c>
      <x:c r="E6" s="9" t="str">
        <x:v>2001-10-19</x:v>
      </x:c>
      <x:c r="F6" s="9" t="str">
        <x:v>2001-10-19</x:v>
      </x:c>
      <x:c r="G6" s="9" t="str">
        <x:v>PASS</x:v>
      </x:c>
    </x:row>
    <x:row r="7" ht="65" customHeight="1">
      <x:c r="A7" s="9" t="str">
        <x:v>30 days before cutoff</x:v>
      </x:c>
      <x:c r="B7" s="9" t="str">
        <x:v>2001-09-19</x:v>
      </x:c>
      <x:c r="C7" s="9" t="str">
        <x:v>closing_soon</x:v>
      </x:c>
      <x:c r="D7" s="9" t="str">
        <x:v>closing_soon</x:v>
      </x:c>
      <x:c r="E7" s="9" t="str">
        <x:v>2001-10-19</x:v>
      </x:c>
      <x:c r="F7" s="9" t="str">
        <x:v>2001-10-19</x:v>
      </x:c>
      <x:c r="G7" s="9" t="str">
        <x:v>PASS</x:v>
      </x:c>
    </x:row>
    <x:row r="8" ht="65" customHeight="1">
      <x:c r="A8" s="9" t="str">
        <x:v>On cutoff day</x:v>
      </x:c>
      <x:c r="B8" s="9" t="str">
        <x:v>2001-10-19</x:v>
      </x:c>
      <x:c r="C8" s="9" t="str">
        <x:v>closing_soon</x:v>
      </x:c>
      <x:c r="D8" s="9" t="str">
        <x:v>closing_soon</x:v>
      </x:c>
      <x:c r="E8" s="9" t="str">
        <x:v>2001-10-19</x:v>
      </x:c>
      <x:c r="F8" s="9" t="str">
        <x:v>2001-10-19</x:v>
      </x:c>
      <x:c r="G8" s="9" t="str">
        <x:v>PASS</x:v>
      </x:c>
    </x:row>
    <x:row r="9" ht="65" customHeight="1">
      <x:c r="A9" s="9" t="str">
        <x:v>Day after cutoff</x:v>
      </x:c>
      <x:c r="B9" s="9" t="str">
        <x:v>2001-10-20</x:v>
      </x:c>
      <x:c r="C9" s="9" t="str">
        <x:v>cutoff_passed_verify_current_term</x:v>
      </x:c>
      <x:c r="D9" s="9" t="str">
        <x:v>cutoff_passed_verify_current_term</x:v>
      </x:c>
      <x:c r="E9" s="9" t="str">
        <x:v>2001-10-19</x:v>
      </x:c>
      <x:c r="F9" s="9" t="str">
        <x:v>2001-10-19</x:v>
      </x:c>
      <x:c r="G9" s="9" t="str">
        <x:v>PASS</x:v>
      </x:c>
    </x:row>
    <x:row r="10" ht="65" customHeight="1">
      <x:c r="A10" s="9" t="str">
        <x:v>Review overrides closing alert</x:v>
      </x:c>
      <x:c r="B10" s="9" t="str">
        <x:v>2001-03-01</x:v>
      </x:c>
      <x:c r="C10" s="9" t="str">
        <x:v>human_review</x:v>
      </x:c>
      <x:c r="D10" s="9" t="str">
        <x:v>human_review</x:v>
      </x:c>
      <x:c r="E10" s="9" t="str">
        <x:v>2001-03-17</x:v>
      </x:c>
      <x:c r="F10" s="9" t="str">
        <x:v>2001-03-17</x:v>
      </x:c>
      <x:c r="G10" s="9" t="str">
        <x:v>PASS</x:v>
      </x:c>
    </x:row>
    <x:row r="11" ht="65" customHeight="1">
      <x:c r="A11" s="9" t="str">
        <x:v>Rolling notice has no cutoff</x:v>
      </x:c>
      <x:c r="B11" s="9" t="str">
        <x:v>2026-10-01</x:v>
      </x:c>
      <x:c r="C11" s="9" t="str">
        <x:v>not_applicable</x:v>
      </x:c>
      <x:c r="D11" s="9" t="str">
        <x:v>not_applicable</x:v>
      </x:c>
      <x:c r="E11" s="9" t="str">
        <x:v>None</x:v>
      </x:c>
      <x:c r="F11" s="9" t="str">
        <x:v>None</x:v>
      </x:c>
      <x:c r="G11" s="9" t="str">
        <x:v>PASS</x:v>
      </x:c>
    </x:row>
    <x:row r="12" ht="65" customHeight="1">
      <x:c r="A12" s="9" t="str">
        <x:v>Missing event date</x:v>
      </x:c>
      <x:c r="B12" s="9" t="str">
        <x:v>2026-10-01</x:v>
      </x:c>
      <x:c r="C12" s="9" t="str">
        <x:v>human_review</x:v>
      </x:c>
      <x:c r="D12" s="9" t="str">
        <x:v>human_review</x:v>
      </x:c>
      <x:c r="E12" s="9" t="str">
        <x:v>None</x:v>
      </x:c>
      <x:c r="F12" s="9" t="str">
        <x:v>None</x:v>
      </x:c>
      <x:c r="G12" s="9" t="str">
        <x:v>PASS</x:v>
      </x:c>
    </x:row>
    <x:row r="13" ht="65" customHeight="1">
      <x:c r="A13" s="9" t="str">
        <x:v>Ambiguous notice unit</x:v>
      </x:c>
      <x:c r="B13" s="9" t="str">
        <x:v>2026-10-01</x:v>
      </x:c>
      <x:c r="C13" s="9" t="str">
        <x:v>human_review</x:v>
      </x:c>
      <x:c r="D13" s="9" t="str">
        <x:v>human_review</x:v>
      </x:c>
      <x:c r="E13" s="9" t="str">
        <x:v>None</x:v>
      </x:c>
      <x:c r="F13" s="9" t="str">
        <x:v>None</x:v>
      </x:c>
      <x:c r="G13" s="9" t="str">
        <x:v>PASS</x:v>
      </x:c>
    </x:row>
    <x:row r="14" ht="65" customHeight="1">
      <x:c r="A14" s="9" t="str">
        <x:v>Before bounded window</x:v>
      </x:c>
      <x:c r="B14" s="9" t="str">
        <x:v>2026-12-29</x:v>
      </x:c>
      <x:c r="C14" s="9" t="str">
        <x:v>window_not_open</x:v>
      </x:c>
      <x:c r="D14" s="9" t="str">
        <x:v>window_not_open</x:v>
      </x:c>
      <x:c r="E14" s="9" t="str">
        <x:v>2027-04-30</x:v>
      </x:c>
      <x:c r="F14" s="9" t="str">
        <x:v>2027-04-30</x:v>
      </x:c>
      <x:c r="G14" s="9" t="str">
        <x:v>PASS</x:v>
      </x:c>
    </x:row>
    <x:row r="15" ht="65" customHeight="1">
      <x:c r="A15" s="9" t="str">
        <x:v>Inside bounded window, far from cutoff</x:v>
      </x:c>
      <x:c r="B15" s="9" t="str">
        <x:v>2027-01-01</x:v>
      </x:c>
      <x:c r="C15" s="9" t="str">
        <x:v>upcoming</x:v>
      </x:c>
      <x:c r="D15" s="9" t="str">
        <x:v>upcoming</x:v>
      </x:c>
      <x:c r="E15" s="9" t="str">
        <x:v>2027-04-30</x:v>
      </x:c>
      <x:c r="F15" s="9" t="str">
        <x:v>2027-04-30</x:v>
      </x:c>
      <x:c r="G15" s="9" t="str">
        <x:v>PASS</x:v>
      </x:c>
    </x:row>
    <x:row r="16" ht="65" customHeight="1">
      <x:c r="A16" s="9" t="str">
        <x:v>Closing bounded window</x:v>
      </x:c>
      <x:c r="B16" s="9" t="str">
        <x:v>2027-04-01</x:v>
      </x:c>
      <x:c r="C16" s="9" t="str">
        <x:v>closing_soon</x:v>
      </x:c>
      <x:c r="D16" s="9" t="str">
        <x:v>closing_soon</x:v>
      </x:c>
      <x:c r="E16" s="9" t="str">
        <x:v>2027-04-30</x:v>
      </x:c>
      <x:c r="F16" s="9" t="str">
        <x:v>2027-04-30</x:v>
      </x:c>
      <x:c r="G16" s="9" t="str">
        <x:v>PASS</x:v>
      </x:c>
    </x:row>
    <x:row r="17" ht="65" customHeight="1">
      <x:c r="A17" s="9" t="str">
        <x:v>Leap-year month clamping</x:v>
      </x:c>
      <x:c r="B17" s="9" t="str">
        <x:v>2024-02-01</x:v>
      </x:c>
      <x:c r="C17" s="9" t="str">
        <x:v>closing_soon</x:v>
      </x:c>
      <x:c r="D17" s="9" t="str">
        <x:v>closing_soon</x:v>
      </x:c>
      <x:c r="E17" s="9" t="str">
        <x:v>2024-02-29</x:v>
      </x:c>
      <x:c r="F17" s="9" t="str">
        <x:v>2024-02-29</x:v>
      </x:c>
      <x:c r="G17" s="9" t="str">
        <x:v>PASS</x:v>
      </x:c>
    </x:row>
    <x:row r="18" ht="65" customHeight="1">
      <x:c r="A18" s="9" t="str">
        <x:v>Invalid date routes to review</x:v>
      </x:c>
      <x:c r="B18" s="9" t="str">
        <x:v>2026-10-01</x:v>
      </x:c>
      <x:c r="C18" s="9" t="str">
        <x:v>human_review</x:v>
      </x:c>
      <x:c r="D18" s="9" t="str">
        <x:v>human_review</x:v>
      </x:c>
      <x:c r="E18" s="9" t="str">
        <x:v>None</x:v>
      </x:c>
      <x:c r="F18" s="9" t="str">
        <x:v>None</x:v>
      </x:c>
      <x:c r="G18" s="9" t="str">
        <x:v>PASS</x:v>
      </x:c>
    </x:row>
  </x:sheetData>
  <x:mergeCells>
    <x:mergeCell ref="A1:G1"/>
    <x:mergeCell ref="A2:G2"/>
  </x:mergeCells>
  <x:pageMargins left="0.7" right="0.7" top="0.75" bottom="0.75" header="0.3" footer="0.3"/>
</x:worksheet>
</file>
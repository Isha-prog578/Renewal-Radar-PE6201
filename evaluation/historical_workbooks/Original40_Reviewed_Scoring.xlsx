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3b75b360774699" /></Relationships>
</file>

<file path=xl/workbook.xml><?xml version="1.0" encoding="utf-8"?>
<x:workbook xmlns:x="http://schemas.openxmlformats.org/spreadsheetml/2006/main">
  <x:sheets>
    <x:sheet xmlns:r="http://schemas.openxmlformats.org/officeDocument/2006/relationships" name="Summary" sheetId="1" r:id="R030f6ab274c1456c"/>
    <x:sheet xmlns:r="http://schemas.openxmlformats.org/officeDocument/2006/relationships" name="All 40 comparisons" sheetId="2" r:id="R67a340af29c24d3b"/>
    <x:sheet xmlns:r="http://schemas.openxmlformats.org/officeDocument/2006/relationships" name="Review queue" sheetId="3" r:id="Rab33a77f2ff94a6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5">
    <x:font>
      <x:sz val="11"/>
      <x:name val="Carlito"/>
    </x:font>
    <x:font>
      <x:b/>
      <x:sz val="16"/>
      <x:color rgb="FFFFFFFF"/>
      <x:name val="Aptos"/>
    </x:font>
    <x:font>
      <x:sz val="11"/>
      <x:color rgb="FF163552"/>
      <x:name val="Aptos"/>
    </x:font>
    <x:font>
      <x:b/>
      <x:sz val="11"/>
      <x:color rgb="FFFFFFFF"/>
      <x:name val="Aptos"/>
    </x:font>
    <x:font>
      <x:sz val="10"/>
      <x:color rgb="FF163552"/>
      <x:name val="Aptos"/>
    </x:font>
  </x:fonts>
  <x:fills count="6">
    <x:fill>
      <x:patternFill patternType="none"/>
    </x:fill>
    <x:fill>
      <x:patternFill patternType="gray125"/>
    </x:fill>
    <x:fill>
      <x:patternFill patternType="solid">
        <x:fgColor rgb="FF163552"/>
      </x:patternFill>
    </x:fill>
    <x:fill>
      <x:patternFill patternType="solid">
        <x:fgColor rgb="FF087E83"/>
      </x:patternFill>
    </x:fill>
    <x:fill>
      <x:patternFill patternType="solid">
        <x:fgColor rgb="FFFFF3D6"/>
      </x:patternFill>
    </x:fill>
    <x:fill>
      <x:patternFill patternType="solid">
        <x:fgColor rgb="FFFFF3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200" fontId="0" fillId="0" borderId="0" xfId="0" applyNumberFormat="1" applyFont="1" applyFill="1" applyBorder="1"/>
    <x:xf numFmtId="200" fontId="2" fillId="0" borderId="0" xfId="0" applyNumberFormat="1" applyFont="1" applyFill="1" applyBorder="1"/>
    <x:xf numFmtId="200" fontId="2" fillId="0" borderId="0"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4" borderId="0" xfId="0" applyNumberFormat="1" applyFont="1" applyFill="1" applyBorder="1" applyAlignment="1">
      <x:alignment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3e55cd929d4982" /><Relationship Type="http://schemas.openxmlformats.org/officeDocument/2006/relationships/theme" Target="/xl/theme/theme1.xml" Id="R34a01d6ab923450d" /><Relationship Type="http://schemas.openxmlformats.org/officeDocument/2006/relationships/sharedStrings" Target="/xl/sharedStrings.xml" Id="R2e58d998f3b24f1a" /><Relationship Type="http://schemas.openxmlformats.org/officeDocument/2006/relationships/worksheet" Target="/xl/worksheets/sheet1.xml" Id="R030f6ab274c1456c" /><Relationship Type="http://schemas.openxmlformats.org/officeDocument/2006/relationships/worksheet" Target="/xl/worksheets/sheet2.xml" Id="R67a340af29c24d3b" /><Relationship Type="http://schemas.openxmlformats.org/officeDocument/2006/relationships/worksheet" Target="/xl/worksheets/sheet3.xml" Id="Rab33a77f2ff94a6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6.670000076293945" hidden="0" customWidth="1"/>
    <x:col min="2" max="2" width="15" hidden="0" customWidth="1"/>
    <x:col min="3" max="3" width="15" hidden="0" customWidth="1"/>
    <x:col min="4" max="4" width="10" hidden="0" customWidth="1"/>
    <x:col min="5" max="5" width="63.33000183105469" hidden="0" customWidth="1"/>
  </x:cols>
  <x:sheetData>
    <x:row r="1" ht="32" customHeight="1">
      <x:c r="A1" s="2" t="str">
        <x:v>Renewal Radar held-out v6 reviewed scoring</x:v>
      </x:c>
      <x:c r="B1" s="2"/>
      <x:c r="C1" s="2"/>
      <x:c r="D1" s="2"/>
      <x:c r="E1" s="2"/>
    </x:row>
    <x:row r="2" ht="30" customHeight="1">
      <x:c r="A2" s="4" t="str">
        <x:v>40 unique contracts • Claude Sonnet 4.6 • unchanged v6 prompt hash verified</x:v>
      </x:c>
      <x:c r="B2" s="4"/>
      <x:c r="C2" s="4"/>
      <x:c r="D2" s="4"/>
      <x:c r="E2" s="4"/>
    </x:row>
    <x:row r="3" ht="30" customHeight="1">
      <x:c r="A3" s="4" t="str">
        <x:v>Original frozen scores retained. Reviewed subset scores below exclude unresolved or mixed-label cases and are not full-set accuracy estimates.</x:v>
      </x:c>
      <x:c r="B3" s="4"/>
      <x:c r="C3" s="4"/>
      <x:c r="D3" s="4"/>
      <x:c r="E3" s="4"/>
    </x:row>
    <x:row r="5" ht="40" customHeight="1">
      <x:c r="A5" s="7" t="str">
        <x:v>Metric</x:v>
      </x:c>
      <x:c r="B5" s="7" t="str">
        <x:v>Correct / flagged</x:v>
      </x:c>
      <x:c r="C5" s="7" t="str">
        <x:v>Eligible / total</x:v>
      </x:c>
      <x:c r="D5" s="7" t="str">
        <x:v>Rate</x:v>
      </x:c>
      <x:c r="E5" s="7" t="str">
        <x:v>Interpretation</x:v>
      </x:c>
    </x:row>
    <x:row r="6" ht="48" customHeight="1">
      <x:c r="A6" s="4" t="str">
        <x:v>Renewal category (frozen)</x:v>
      </x:c>
      <x:c r="B6" s="4" t="n">
        <x:v>38</x:v>
      </x:c>
      <x:c r="C6" s="4" t="n">
        <x:v>40</x:v>
      </x:c>
      <x:c r="D6" s="10" t="n">
        <x:f>B6/C6</x:f>
        <x:v>0.95</x:v>
      </x:c>
      <x:c r="E6" s="4" t="str">
        <x:v>38/40 frozen matches. IDs 3 and 34 remain unresolved after review.</x:v>
      </x:c>
    </x:row>
    <x:row r="7" ht="48" customHeight="1">
      <x:c r="A7" s="4" t="str">
        <x:v>Binary auto-renewal</x:v>
      </x:c>
      <x:c r="B7" s="4" t="n">
        <x:v>34</x:v>
      </x:c>
      <x:c r="C7" s="4" t="n">
        <x:v>34</x:v>
      </x:c>
      <x:c r="D7" s="10" t="n">
        <x:f>B7/C7</x:f>
        <x:v>1</x:v>
      </x:c>
      <x:c r="E7" s="4" t="str">
        <x:v>Conditional (5) and Unclear (1) excluded; scope matches established rules.</x:v>
      </x:c>
    </x:row>
    <x:row r="8" ht="48" customHeight="1">
      <x:c r="A8" s="4" t="str">
        <x:v>Always-Yes baseline</x:v>
      </x:c>
      <x:c r="B8" s="4" t="n">
        <x:v>21</x:v>
      </x:c>
      <x:c r="C8" s="4" t="n">
        <x:v>34</x:v>
      </x:c>
      <x:c r="D8" s="10" t="n">
        <x:f>B8/C8</x:f>
        <x:v>0.6176470588235294</x:v>
      </x:c>
      <x:c r="E8" s="4" t="str">
        <x:v>Same eligible binary cases as model.</x:v>
      </x:c>
    </x:row>
    <x:row r="9" ht="48" customHeight="1">
      <x:c r="A9" s="4" t="str">
        <x:v>Notice type (frozen)</x:v>
      </x:c>
      <x:c r="B9" s="4" t="n">
        <x:v>34</x:v>
      </x:c>
      <x:c r="C9" s="4" t="n">
        <x:v>40</x:v>
      </x:c>
      <x:c r="D9" s="10" t="n">
        <x:f>B9/C9</x:f>
        <x:v>0.85</x:v>
      </x:c>
      <x:c r="E9" s="4" t="str">
        <x:v>34/40 raw matches retained for audit. Reference gaps and mixed purposes prevent a final full-set accuracy claim.</x:v>
      </x:c>
    </x:row>
    <x:row r="10" ht="48" customHeight="1">
      <x:c r="A10" s="4" t="str">
        <x:v>Model human-review rate</x:v>
      </x:c>
      <x:c r="B10" s="4" t="n">
        <x:v>27</x:v>
      </x:c>
      <x:c r="C10" s="4" t="n">
        <x:v>40</x:v>
      </x:c>
      <x:c r="D10" s="10" t="n">
        <x:f>B10/C10</x:f>
        <x:v>0.675</x:v>
      </x:c>
      <x:c r="E10" s="4" t="str">
        <x:v>Model requested human review; this is a workload measure, not accuracy.</x:v>
      </x:c>
    </x:row>
    <x:row r="11" ht="48" customHeight="1">
      <x:c r="A11" s="4" t="str">
        <x:v>Notice-reference omissions</x:v>
      </x:c>
      <x:c r="B11" s="4" t="n">
        <x:v>5</x:v>
      </x:c>
      <x:c r="C11" s="4" t="n">
        <x:v>40</x:v>
      </x:c>
      <x:c r="D11" s="10" t="n">
        <x:f>B11/C11</x:f>
        <x:v>0.125</x:v>
      </x:c>
      <x:c r="E11" s="4" t="str">
        <x:v>Five original reference gaps retained: IDs 4, 5, 12, 26, 32. HF Enterprises resolved for prose capture only.</x:v>
      </x:c>
    </x:row>
    <x:row r="12" ht="48" customHeight="1">
      <x:c r="A12" s="4" t="str">
        <x:v>Notice-period accuracy</x:v>
      </x:c>
      <x:c r="B12" s="4"/>
      <x:c r="C12" s="4"/>
      <x:c r="D12" s="4"/>
      <x:c r="E12" s="4" t="str">
        <x:v>Numeric period agreement scored on 19 settled cases below. Remaining quantified accuracy and complete notice capture across all 40 are not established.</x:v>
      </x:c>
    </x:row>
    <x:row r="13" ht="48" customHeight="1">
      <x:c r="A13" s="4" t="str">
        <x:v>Exact calendar-deadline accuracy</x:v>
      </x:c>
      <x:c r="B13" s="4"/>
      <x:c r="C13" s="4"/>
      <x:c r="D13" s="4"/>
      <x:c r="E13" s="4" t="str">
        <x:v>Not scored: no deterministic held-out deadline run. The development demonstration is separate from held-out model scoring.</x:v>
      </x:c>
    </x:row>
    <x:row r="15" ht="48" customHeight="1">
      <x:c r="A15" s="13" t="str">
        <x:v>Safety finding: GPAQ has an explicit 2034-12-31 expiry and six-month notice, but model marked its deadline not calculable.</x:v>
      </x:c>
      <x:c r="B15" s="13"/>
      <x:c r="C15" s="13"/>
      <x:c r="D15" s="13"/>
      <x:c r="E15" s="13"/>
    </x:row>
    <x:row r="17" ht="44" customHeight="1">
      <x:c r="A17" s="15" t="str">
        <x:v>Method: retain frozen labels and predictions. Add metric-specific assessments after review. Subset exclusions were decided after seeing outputs, so subset agreement is descriptive only.</x:v>
      </x:c>
      <x:c r="B17" s="15"/>
      <x:c r="C17" s="15"/>
      <x:c r="D17" s="15"/>
      <x:c r="E17" s="15"/>
    </x:row>
    <x:row r="19">
      <x:c r="A19" t="str">
        <x:v>Reviewed measure</x:v>
      </x:c>
      <x:c r="B19" t="str">
        <x:v>Matches / count</x:v>
      </x:c>
      <x:c r="C19" t="str">
        <x:v>Eligible / total</x:v>
      </x:c>
      <x:c r="D19" t="str">
        <x:v>Rate</x:v>
      </x:c>
      <x:c r="E19" t="str">
        <x:v>Scope and exclusions</x:v>
      </x:c>
    </x:row>
    <x:row r="20" ht="64" customHeight="1">
      <x:c r="A20" s="4" t="str">
        <x:v>Renewal category (settled subset)</x:v>
      </x:c>
      <x:c r="B20" s="4" t="n">
        <x:f>COUNTIFS('All 40 comparisons'!Q6:Q45,"Match")</x:f>
        <x:v>38</x:v>
      </x:c>
      <x:c r="C20" s="4" t="n">
        <x:f>40-COUNTIFS('All 40 comparisons'!Q6:Q45,"Unresolved")</x:f>
        <x:v>38</x:v>
      </x:c>
      <x:c r="D20" s="10" t="n">
        <x:f>B20/C20</x:f>
        <x:v>1</x:v>
      </x:c>
      <x:c r="E20" s="4" t="str">
        <x:v>IDs 3 and 34 unresolved. Descriptive agreement on the other 38.</x:v>
      </x:c>
    </x:row>
    <x:row r="21" ht="64" customHeight="1">
      <x:c r="A21" s="4" t="str">
        <x:v>Notice type (settled subset)</x:v>
      </x:c>
      <x:c r="B21" s="4" t="n">
        <x:f>COUNTIFS('All 40 comparisons'!R6:R45,"Match")</x:f>
        <x:v>28</x:v>
      </x:c>
      <x:c r="C21" s="4" t="n">
        <x:f>B21+COUNTIFS('All 40 comparisons'!R6:R45,"Mismatch")</x:f>
        <x:v>28</x:v>
      </x:c>
      <x:c r="D21" s="10" t="n">
        <x:f>B21/C21</x:f>
        <x:v>1</x:v>
      </x:c>
      <x:c r="E21" s="4" t="str">
        <x:v>28 cases outside the queue. 11 unresolved plus HF’s incomplete single label excluded.</x:v>
      </x:c>
    </x:row>
    <x:row r="22" ht="64" customHeight="1">
      <x:c r="A22" s="4" t="str">
        <x:v>Numeric notice period (settled subset)</x:v>
      </x:c>
      <x:c r="B22" s="4" t="n">
        <x:f>COUNTIFS('All 40 comparisons'!S6:S45,"Match")</x:f>
        <x:v>19</x:v>
      </x:c>
      <x:c r="C22" s="4" t="n">
        <x:f>B22+COUNTIFS('All 40 comparisons'!S6:S45,"Mismatch")</x:f>
        <x:v>19</x:v>
      </x:c>
      <x:c r="D22" s="10" t="n">
        <x:f>B22/C22</x:f>
        <x:v>1</x:v>
      </x:c>
      <x:c r="E22" s="4" t="str">
        <x:v>19 cases with quantified primary notice rules. Compare amount, unit, actor and purpose.</x:v>
      </x:c>
    </x:row>
    <x:row r="23" ht="64" customHeight="1">
      <x:c r="A23" s="4" t="str">
        <x:v>No quantified period / redaction</x:v>
      </x:c>
      <x:c r="B23" s="4" t="n">
        <x:f>COUNTIFS('All 40 comparisons'!S6:S45,"Redacted preserved")+COUNTIFS('All 40 comparisons'!S6:S45,"No advance period preserved")</x:f>
        <x:v>9</x:v>
      </x:c>
      <x:c r="C23" s="4" t="n">
        <x:v>9</x:v>
      </x:c>
      <x:c r="D23" s="10" t="n">
        <x:f>B23/C23</x:f>
        <x:v>1</x:v>
      </x:c>
      <x:c r="E23" s="4" t="str">
        <x:v>Seven cases without an advance quantity and two redacted quantities preserved correctly.</x:v>
      </x:c>
    </x:row>
    <x:row r="24" ht="64" customHeight="1">
      <x:c r="A24" s="4" t="str">
        <x:v>Queue entries awaiting clarification</x:v>
      </x:c>
      <x:c r="B24" s="4" t="n">
        <x:v>11</x:v>
      </x:c>
      <x:c r="C24" s="4" t="n">
        <x:v>12</x:v>
      </x:c>
      <x:c r="D24" s="10" t="n">
        <x:f>B24/C24</x:f>
        <x:v>0.9166666666666666</x:v>
      </x:c>
      <x:c r="E24" s="4" t="str">
        <x:v>HF resolved for two-rule prose capture. Other 11 retain Needs human review.</x:v>
      </x:c>
    </x:row>
    <x:row r="25" ht="64" customHeight="1">
      <x:c r="A25" s="4" t="str">
        <x:v>HF notice rules captured in prose</x:v>
      </x:c>
      <x:c r="B25" s="4" t="n">
        <x:v>2</x:v>
      </x:c>
      <x:c r="C25" s="4" t="n">
        <x:v>2</x:v>
      </x:c>
      <x:c r="D25" s="10" t="n">
        <x:f>B25/C25</x:f>
        <x:v>1</x:v>
      </x:c>
      <x:c r="E25" s="4" t="str">
        <x:v>Two 30-day rules captured. Single notice_type still lacks the non-renewal classification.</x:v>
      </x:c>
    </x:row>
    <x:row r="27" ht="54" customHeight="1">
      <x:c r="A27" s="19" t="str">
        <x:v>Report full-set frozen category agreement as 38/40 (95%). Report binary agreement as 34/34, with six exclusions and the 21/34 always-Yes baseline. Never present selected-subset 100% as overall accuracy.</x:v>
      </x:c>
      <x:c r="B27" s="19"/>
      <x:c r="C27" s="19"/>
      <x:c r="D27" s="19"/>
      <x:c r="E27" s="19"/>
    </x:row>
    <x:row r="29" ht="35" customHeight="1">
      <x:c r="A29" s="15" t="str">
        <x:v>Provenance: exact prompt and prediction hashes, plus frozen-reference hash, listed in the comparison sheet. No new model run or reference replacement.</x:v>
      </x:c>
      <x:c r="B29" s="15"/>
      <x:c r="C29" s="15"/>
      <x:c r="D29" s="15"/>
      <x:c r="E29" s="15"/>
    </x:row>
  </x:sheetData>
  <x:mergeCells>
    <x:mergeCell ref="A1:E1"/>
    <x:mergeCell ref="A2:E2"/>
    <x:mergeCell ref="A3:E3"/>
    <x:mergeCell ref="A15:E15"/>
    <x:mergeCell ref="A17:E17"/>
    <x:mergeCell ref="A27:E27"/>
    <x:mergeCell ref="A29:E29"/>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670000076293945" hidden="0" customWidth="1"/>
    <x:col min="2" max="2" width="36.66999816894531" hidden="0" customWidth="1"/>
    <x:col min="3" max="3" width="16.670000076293945" hidden="0" customWidth="1"/>
    <x:col min="4" max="4" width="16.670000076293945" hidden="0" customWidth="1"/>
    <x:col min="5" max="5" width="10.5600004196167" hidden="0" customWidth="1"/>
    <x:col min="6" max="6" width="10" hidden="0" customWidth="1"/>
    <x:col min="7" max="7" width="36.66999816894531" hidden="0" customWidth="1"/>
    <x:col min="8" max="8" width="47.779998779296875" hidden="0" customWidth="1"/>
    <x:col min="9" max="9" width="16.110000610351562" hidden="0" customWidth="1"/>
    <x:col min="10" max="10" width="16.110000610351562" hidden="0" customWidth="1"/>
    <x:col min="11" max="11" width="12.220000267028809" hidden="0" customWidth="1"/>
    <x:col min="12" max="12" width="15" hidden="0" customWidth="1"/>
    <x:col min="13" max="13" width="13.890000343322754" hidden="0" customWidth="1"/>
    <x:col min="14" max="14" width="30.559999465942383" hidden="0" customWidth="1"/>
    <x:col min="15" max="15" width="53.33000183105469" hidden="0" customWidth="1"/>
    <x:col min="16" max="16" width="65.55999755859375" hidden="0" customWidth="1"/>
    <x:col min="17" max="17" width="17.780000686645508" hidden="0" customWidth="1"/>
    <x:col min="18" max="18" width="21.110000610351562" hidden="0" customWidth="1"/>
    <x:col min="19" max="19" width="21.110000610351562" hidden="0" customWidth="1"/>
    <x:col min="20" max="20" width="24.440000534057617" hidden="0" customWidth="1"/>
    <x:col min="21" max="21" width="50" hidden="0" customWidth="1"/>
  </x:cols>
  <x:sheetData>
    <x:row r="1" ht="32" customHeight="1">
      <x:c r="A1" s="2" t="str">
        <x:v>All 40 contracts | frozen reference vs v6 prediction</x:v>
      </x:c>
      <x:c r="B1" s="2"/>
      <x:c r="C1" s="2"/>
      <x:c r="D1" s="2"/>
      <x:c r="E1" s="2"/>
      <x:c r="F1" s="2"/>
      <x:c r="G1" s="2"/>
      <x:c r="H1" s="2"/>
      <x:c r="I1" s="2"/>
      <x:c r="J1" s="2"/>
      <x:c r="K1" s="2"/>
      <x:c r="L1" s="2"/>
      <x:c r="M1" s="2"/>
      <x:c r="N1" s="2"/>
      <x:c r="O1" s="2"/>
      <x:c r="P1" s="2"/>
    </x:row>
    <x:row r="5" ht="40" customHeight="1">
      <x:c r="A5" s="7" t="str">
        <x:v>ID</x:v>
      </x:c>
      <x:c r="B5" s="7" t="str">
        <x:v>Contract PDF</x:v>
      </x:c>
      <x:c r="C5" s="7" t="str">
        <x:v>Reference renewal type</x:v>
      </x:c>
      <x:c r="D5" s="7" t="str">
        <x:v>Predicted renewal type</x:v>
      </x:c>
      <x:c r="E5" s="7" t="str">
        <x:v>Category score</x:v>
      </x:c>
      <x:c r="F5" s="7" t="str">
        <x:v>Binary score</x:v>
      </x:c>
      <x:c r="G5" s="7" t="str">
        <x:v>Reference notice rule</x:v>
      </x:c>
      <x:c r="H5" s="7" t="str">
        <x:v>Predicted notice rule</x:v>
      </x:c>
      <x:c r="I5" s="7" t="str">
        <x:v>Reference notice type</x:v>
      </x:c>
      <x:c r="J5" s="7" t="str">
        <x:v>Predicted notice type</x:v>
      </x:c>
      <x:c r="K5" s="7" t="str">
        <x:v>Raw notice-type score</x:v>
      </x:c>
      <x:c r="L5" s="7" t="str">
        <x:v>Deadline calculable (model)</x:v>
      </x:c>
      <x:c r="M5" s="7" t="str">
        <x:v>Human review (model)</x:v>
      </x:c>
      <x:c r="N5" s="7" t="str">
        <x:v>Reference PDF evidence</x:v>
      </x:c>
      <x:c r="O5" s="7" t="str">
        <x:v>Review note</x:v>
      </x:c>
      <x:c r="P5" s="7" t="str">
        <x:v>Model PDF evidence</x:v>
      </x:c>
      <x:c r="Q5" t="str">
        <x:v>Category assessment</x:v>
      </x:c>
      <x:c r="R5" t="str">
        <x:v>Notice-type assessment</x:v>
      </x:c>
      <x:c r="S5" t="str">
        <x:v>Notice-period assessment</x:v>
      </x:c>
      <x:c r="T5" t="str">
        <x:v>Review disposition</x:v>
      </x:c>
      <x:c r="U5" t="str">
        <x:v>Assessment scope</x:v>
      </x:c>
    </x:row>
    <x:row r="6" ht="140" customHeight="1">
      <x:c r="A6" s="15" t="n">
        <x:v>1</x:v>
      </x:c>
      <x:c r="B6" s="15" t="str">
        <x:v>AlliedEsportsEntertainmentInc_20190815_8-K_EX-10.19_11788293_EX-10.19_Content License Agreement.pdf</x:v>
      </x:c>
      <x:c r="C6" s="15" t="str">
        <x:v>Conditional</x:v>
      </x:c>
      <x:c r="D6" s="15" t="str">
        <x:v>Conditional</x:v>
      </x:c>
      <x:c r="E6" s="15" t="str">
        <x:v>Match</x:v>
      </x:c>
      <x:c r="F6" s="15" t="str">
        <x:v>Excluded</x:v>
      </x:c>
      <x:c r="G6" s="15" t="str">
        <x:v>No renewal notice in §3</x:v>
      </x:c>
      <x:c r="H6" s="15" t="str">
        <x:v>No notice period is stated for the renewal or non-renewal. Separately, Section 6 provides a 30-day cure period after written notice of default before termination for cause; Section 10(f) provides at least 30 days' notice to terminate for a force majeure condition lasting 2+ months. Neither is a renewal or non-renewal notice.</x:v>
      </x:c>
      <x:c r="I6" s="15" t="str">
        <x:v>No fixed notice stated</x:v>
      </x:c>
      <x:c r="J6" s="15" t="str">
        <x:v>none stated</x:v>
      </x:c>
      <x:c r="K6" s="15" t="str">
        <x:v>Match</x:v>
      </x:c>
      <x:c r="L6" s="15" t="str">
        <x:v>No</x:v>
      </x:c>
      <x:c r="M6" s="15" t="str">
        <x:v>No</x:v>
      </x:c>
      <x:c r="N6" s="15" t="str">
        <x:v>PDF p.1 opening; p.2 §3</x:v>
      </x:c>
      <x:c r="O6" s="15" t="str"/>
      <x:c r="P6" s="15" t="str">
        <x:v>[PDF page 1] Agreement 'dated February 1, 2018 (the "Effective Date")'; [PDF page 2] Section 3: 'This Agreement will be in effect for three (3) years from the Effective Date ("Initial Term")... This Agreement shall automatically extend for an additional two (2) years on the same terms herein ("Renewal Term") provided WPT receives payments greater than twelve million U.S. dollars ($12,000,000) within the Initial Term'; [PDF page 3] Signature page shows blank signatures with no dates filled in, but the term clause is based on the defined Effective Date of February 1, 2018, not on the act of signing; [PDF page 7] Section 6 provides 30-day cure period after notice of default (termination for cause, not renewal); [PDF page 8] Section 10(f) provides 30 days' notice for force majeure termination (not renewal).</x:v>
      </x:c>
      <x:c r="Q6" s="15" t="str">
        <x:v>Match</x:v>
      </x:c>
      <x:c r="R6" s="15" t="str">
        <x:v>Match</x:v>
      </x:c>
      <x:c r="S6" s="15" t="str">
        <x:v>No advance period preserved</x:v>
      </x:c>
      <x:c r="T6" s="15" t="str">
        <x:v>No queued issue</x:v>
      </x:c>
      <x:c r="U6" s="15" t="str">
        <x:v>No quantified advance renewal notice in reference. Model agrees on this absence or timing. Additional notices not assessed for completeness.</x:v>
      </x:c>
    </x:row>
    <x:row r="7" ht="140" customHeight="1">
      <x:c r="A7" s="15" t="n">
        <x:v>2</x:v>
      </x:c>
      <x:c r="B7" s="15" t="str">
        <x:v>ArcaUsTreasuryFund_20200207_N-2_EX-99.K5_11971930_EX-99.K5_Development Agreement.pdf</x:v>
      </x:c>
      <x:c r="C7" s="15" t="str">
        <x:v>Conditional</x:v>
      </x:c>
      <x:c r="D7" s="15" t="str">
        <x:v>Conditional</x:v>
      </x:c>
      <x:c r="E7" s="15" t="str">
        <x:v>Match</x:v>
      </x:c>
      <x:c r="F7" s="15" t="str">
        <x:v>Excluded</x:v>
      </x:c>
      <x:c r="G7" s="15" t="str">
        <x:v>60 days written notice to terminate at any time (§7(a)); no fixed pre-renewal cutoff</x:v>
      </x:c>
      <x:c r="H7" s="15" t="str">
        <x:v>60 days' written notice by the vote of a majority of the outstanding voting securities of the Fund, or by the vote of the Fund's Trustees, or by the Blockchain Administrator, for termination at any time per Section 7(a).</x:v>
      </x:c>
      <x:c r="I7" s="15" t="str">
        <x:v>Rolling termination</x:v>
      </x:c>
      <x:c r="J7" s="15" t="str">
        <x:v>rolling termination</x:v>
      </x:c>
      <x:c r="K7" s="15" t="str">
        <x:v>Match</x:v>
      </x:c>
      <x:c r="L7" s="15" t="str">
        <x:v>No</x:v>
      </x:c>
      <x:c r="M7" s="15" t="str">
        <x:v>Yes</x:v>
      </x:c>
      <x:c r="N7" s="15" t="str">
        <x:v>PDF p.1 opening; p.3 §7(a); p.4 §7(b)</x:v>
      </x:c>
      <x:c r="O7" s="15" t="str"/>
      <x:c r="P7" s="15" t="str">
        <x:v>[PDF page 1] 'This Agreement is made as of [___], 2020 by and between ARCA U.S. TREASURY FUND...and ARCA CAPITAL MANAGEMENT, LLC.' — effective date blank unfilled. [PDF page 3-4] Section 7(a): 'This Agreement shall become effective as of the first date above written. This Agreement may be terminated at any time, without the payment of any penalty, upon 60 days' written notice, by the vote of a majority of the outstanding voting securities of the Fund or by the vote of the Fund's Trustees or by the Blockchain Administrator.' [PDF page 4] Section 7(b): 'This Agreement shall continue in effect for two years from the date hereof, and thereafter shall continue automatically for successive annual periods, provided that such continuance is specifically approved at least annually by (A) the vote of the Board, or by the vote of a majority of the outstanding voting securities of the Fund and (B) the vote of a majority of the Fund's directors who are not parties to this Agreement or interested persons...' [PDF page 5] Signature block: 'IN WITNESS WHEREOF, the parties hereto have executed and delivered this Agreement as of the date first above written.' — signatures present for Philip Liu (President, Arca U.S. Treasury Fund) and J. Rayne Steinberg (CEO, Arca Capital Management, LLC), but no dates filled in on signature lines.</x:v>
      </x:c>
      <x:c r="Q7" s="15" t="str">
        <x:v>Match</x:v>
      </x:c>
      <x:c r="R7" s="15" t="str">
        <x:v>Match</x:v>
      </x:c>
      <x:c r="S7" s="15" t="str">
        <x:v>Match</x:v>
      </x:c>
      <x:c r="T7" s="15" t="str">
        <x:v>No queued issue</x:v>
      </x:c>
      <x:c r="U7" s="15" t="str">
        <x:v>Primary reference notice amount, unit, actor and purpose semantically agree. Additional notice rights not assessed for completeness.</x:v>
      </x:c>
    </x:row>
    <x:row r="8" ht="140" customHeight="1">
      <x:c r="A8" s="16" t="n">
        <x:v>3</x:v>
      </x:c>
      <x:c r="B8" s="16" t="str">
        <x:v>AzulSa_20170303_F-1A_EX-10.3_9943903_EX-10.3_Maintenance Agreement1.pdf</x:v>
      </x:c>
      <x:c r="C8" s="16" t="str">
        <x:v>Unclear</x:v>
      </x:c>
      <x:c r="D8" s="16" t="str">
        <x:v>Automatic</x:v>
      </x:c>
      <x:c r="E8" s="16" t="str">
        <x:v>Mismatch</x:v>
      </x:c>
      <x:c r="F8" s="16" t="str">
        <x:v>Excluded</x:v>
      </x:c>
      <x:c r="G8" s="15" t="str">
        <x:v>Either party to other; timing [*****] redacted</x:v>
      </x:c>
      <x:c r="H8" s="15" t="str">
        <x:v>[*****] (redacted) prior to expiry of the Initial Term or the end of a renewal period; either Party to the other Party; purpose: to prevent automatic annual renewal per Clause 3.2.</x:v>
      </x:c>
      <x:c r="I8" s="15" t="str">
        <x:v>Non-renewal</x:v>
      </x:c>
      <x:c r="J8" s="15" t="str">
        <x:v>non-renewal</x:v>
      </x:c>
      <x:c r="K8" s="15" t="str">
        <x:v>Match</x:v>
      </x:c>
      <x:c r="L8" s="15" t="str">
        <x:v>No</x:v>
      </x:c>
      <x:c r="M8" s="15" t="str">
        <x:v>Yes</x:v>
      </x:c>
      <x:c r="N8" s="15" t="str">
        <x:v>PDF p.4 dated opening; p.13 Signing/Start Date definitions; p.15 §§3.1–3.3; p.40 execution</x:v>
      </x:c>
      <x:c r="O8" s="15" t="str">
        <x:v>Frozen label Unclear; model Automatic. §3.2 renewal verb is redacted; annual renewal references may imply mechanism. Review scope without silently changing original score.</x:v>
      </x:c>
      <x:c r="P8" s="15" t="str">
        <x:v>[PDF page 4] 'THIS GLOBAL MAINTENANCE AGREEMENT...IS MADE ON March 9th 2015' — agreement/signing date. [PDF page 13] 'Signing Date' defined as 'the date indicated on page four (4) of this Agreement and refers to the date on which this Agreement is signed by both Parties'; 'Start Date' defined as 'the date occurring thirty (30) Days after the Signing Date, subject to fulfilment of the conditions set out in Clause 17.' [PDF page 9] 'End Date' defined referencing Clause 3.1 (end of Initial Term) and Clause 3.2 (end of annual renewal). [PDF page 13] 'Term' defined as 'the period of time starting from the Signing Date and ending on the End Date.' [PDF page 15] Clause 3.1: 'The Agreement enters into force on the Signing Date; it will have a duration of [*****] as from the Start Date (the "Initial Term").' Clause 3.2: 'Upon expiry of the Initial Term, this Agreement [*****] unless a Notice of non-renewal is given by either Party to the other Party [*****] prior to the expiry of the Initial Term or the end of a renewal period, if any.' [PDF page 40] Execution page: signed by /s/ Amir Nasruddin (AZUL) and /s/ Massimo Castorina (ATR) 'on the Signing Date.'</x:v>
      </x:c>
      <x:c r="Q8" s="15" t="str">
        <x:v>Unresolved</x:v>
      </x:c>
      <x:c r="R8" s="15" t="str">
        <x:v>Unresolved</x:v>
      </x:c>
      <x:c r="S8" s="15" t="str">
        <x:v>Unresolved</x:v>
      </x:c>
      <x:c r="T8" s="15" t="str">
        <x:v>Redacted - needs human review</x:v>
      </x:c>
      <x:c r="U8" s="15" t="str">
        <x:v>Affected notice scoring withheld pending clarification. Category withheld only for IDs 3 and 34. Original comparisons retained.</x:v>
      </x:c>
    </x:row>
    <x:row r="9" ht="140" customHeight="1">
      <x:c r="A9" s="16" t="n">
        <x:v>4</x:v>
      </x:c>
      <x:c r="B9" s="16" t="str">
        <x:v>BizzingoInc_20120322_8-K_EX-10.17_7504499_EX-10.17_Endorsement Agreement.pdf</x:v>
      </x:c>
      <x:c r="C9" s="16" t="str">
        <x:v>By agreement/amendment</x:v>
      </x:c>
      <x:c r="D9" s="16" t="str">
        <x:v>By agreement/amendment</x:v>
      </x:c>
      <x:c r="E9" s="16" t="str">
        <x:v>Match</x:v>
      </x:c>
      <x:c r="F9" s="16" t="str">
        <x:v>Match</x:v>
      </x:c>
      <x:c r="G9" s="15" t="str">
        <x:v>None stated for extension</x:v>
      </x:c>
      <x:c r="H9" s="15" t="str">
        <x:v>30 days prior written notice by either party for termination-for-cause events (Sections 10a, 10b, 10c); 30 days written notice by Theismann for termination at will (Section 10d). No notice period is stated for the mutual written addendum renewal process.</x:v>
      </x:c>
      <x:c r="I9" s="15" t="str">
        <x:v>None stated</x:v>
      </x:c>
      <x:c r="J9" s="15" t="str">
        <x:v>rolling termination</x:v>
      </x:c>
      <x:c r="K9" s="15" t="str">
        <x:v>Mismatch</x:v>
      </x:c>
      <x:c r="L9" s="15" t="str">
        <x:v>No</x:v>
      </x:c>
      <x:c r="M9" s="15" t="str">
        <x:v>No</x:v>
      </x:c>
      <x:c r="N9" s="15" t="str">
        <x:v>PDF p.1 opening; p.2 §2</x:v>
      </x:c>
      <x:c r="O9" s="15" t="str">
        <x:v>Frozen notice label omits Theismann’s rolling termination right: 30 days’ written notice at any time. Proposed reference addition; score remains pending.</x:v>
      </x:c>
      <x:c r="P9" s="15" t="str">
        <x:v>[PDF page 1] 'THIS AGREEMENT is made as of this March 14, 2012 but effective as of March 1, 2012 ("Effective Date")' — agreement date is March 14, 2012; operative Effective Date is expressly defined as March 1, 2012. [PDF page 2] Section 2: 'this Agreement shall commence on the Effective Date and continue for a period of one (1) year ("Term"). provided however, that the Parties may extend the Term for an additional year period by entering into a written addendum of the Agreement extending such term.' [PDF page 6] Section 10(d): 'Theismann shall have the right to terminate this Agreement at any time upon thirty (30) days' written notice to Bizzingo.' Sections 10(a)–(c): 30 days prior written notice for cause/event-triggered termination by either party. [PDF page 8] Signature page shows signatures of Joseph Theismann and Douglas Toth (President, Bizzingo, Inc.) without individual signature dates.</x:v>
      </x:c>
      <x:c r="Q9" s="15" t="str">
        <x:v>Match</x:v>
      </x:c>
      <x:c r="R9" s="15" t="str">
        <x:v>Unresolved</x:v>
      </x:c>
      <x:c r="S9" s="15" t="str">
        <x:v>Unresolved</x:v>
      </x:c>
      <x:c r="T9" s="15" t="str">
        <x:v>Needs human review</x:v>
      </x:c>
      <x:c r="U9" s="15" t="str">
        <x:v>Affected notice scoring withheld pending clarification. Category withheld only for IDs 3 and 34. Original comparisons retained.</x:v>
      </x:c>
    </x:row>
    <x:row r="10" ht="140" customHeight="1">
      <x:c r="A10" s="16" t="n">
        <x:v>5</x:v>
      </x:c>
      <x:c r="B10" s="16" t="str">
        <x:v>CoherusBiosciencesInc_20200227_10-K_EX-10.29_12021376_EX-10.29_Development Agreement.pdf</x:v>
      </x:c>
      <x:c r="C10" s="16" t="str">
        <x:v>Automatic</x:v>
      </x:c>
      <x:c r="D10" s="16" t="str">
        <x:v>Automatic</x:v>
      </x:c>
      <x:c r="E10" s="16" t="str">
        <x:v>Match</x:v>
      </x:c>
      <x:c r="F10" s="16" t="str">
        <x:v>Match</x:v>
      </x:c>
      <x:c r="G10" s="15" t="str">
        <x:v>No fixed renewal notice; termination only under §15.2</x:v>
      </x:c>
      <x:c r="H10" s="15" t="str">
        <x:v>18 months advance written notice by Licensee to Bioeq for termination for convenience (Section 15.2.5); various other termination rights exist (e.g., 30-day cure period for breach under Section 15.2.1, 60-day window for Bioeq after Competitor Change of Control under Section 15.2.9) but those are termination-for-cause or event-triggered rights, not renewal/non-renewal notices</x:v>
      </x:c>
      <x:c r="I10" s="15" t="str">
        <x:v>None stated</x:v>
      </x:c>
      <x:c r="J10" s="15" t="str">
        <x:v>rolling termination</x:v>
      </x:c>
      <x:c r="K10" s="15" t="str">
        <x:v>Mismatch</x:v>
      </x:c>
      <x:c r="L10" s="15" t="str">
        <x:v>No</x:v>
      </x:c>
      <x:c r="M10" s="15" t="str">
        <x:v>Yes</x:v>
      </x:c>
      <x:c r="N10" s="15" t="str">
        <x:v>PDF p.3 opening; p.32 §§15.1–15.2</x:v>
      </x:c>
      <x:c r="O10" s="15" t="str">
        <x:v>Frozen notice label omits Licensee’s 18-month convenience termination right, not effective before 12 months after First Commercial Sale. Proposed reference addition.</x:v>
      </x:c>
      <x:c r="P10" s="15" t="str">
        <x:v>[PDF page 3] 'This LICENSE AND DEVELOPMENT AGREEMENT...is entered into effective as of Nov. 02, 2019 (the Effective Date)'; [PDF page 32] Section 15.1: 'the Parties' respective rights and obligations under this Agreement shall commence on the Effective Date and shall remain in full force for ten (10) years after the First Commercial Sale of the first Licensed Product, and shall thereafter automatically renew for an unlimited period of time unless otherwise terminated in accordance with Section 15.2'; [PDF page 33] Section 15.2.5: 'Licensee may terminate this Agreement for convenience upon eighteen (18) months' advance written notice to Bioeq; provided, however, that any such termination for convenience shall not become effective prior to twelve (12) months after the First Commercial Sale of the first Licensed Product'; [PDF page 40] Bioeq signatures dated November 02, 2019; Coherus signature dated November 4, 2019.</x:v>
      </x:c>
      <x:c r="Q10" s="15" t="str">
        <x:v>Match</x:v>
      </x:c>
      <x:c r="R10" s="15" t="str">
        <x:v>Unresolved</x:v>
      </x:c>
      <x:c r="S10" s="15" t="str">
        <x:v>Unresolved</x:v>
      </x:c>
      <x:c r="T10" s="15" t="str">
        <x:v>Needs human review</x:v>
      </x:c>
      <x:c r="U10" s="15" t="str">
        <x:v>Affected notice scoring withheld pending clarification. Category withheld only for IDs 3 and 34. Original comparisons retained.</x:v>
      </x:c>
    </x:row>
    <x:row r="11" ht="140" customHeight="1">
      <x:c r="A11" s="15" t="n">
        <x:v>6</x:v>
      </x:c>
      <x:c r="B11" s="15" t="str">
        <x:v>DataCallTechnologies_20060918_SB-2A_EX-10.9_944510_EX-10.9_Content License Agreement.pdf</x:v>
      </x:c>
      <x:c r="C11" s="15" t="str">
        <x:v>Automatic</x:v>
      </x:c>
      <x:c r="D11" s="15" t="str">
        <x:v>Automatic</x:v>
      </x:c>
      <x:c r="E11" s="15" t="str">
        <x:v>Match</x:v>
      </x:c>
      <x:c r="F11" s="15" t="str">
        <x:v>Match</x:v>
      </x:c>
      <x:c r="G11" s="15" t="str">
        <x:v>At least 60 days before end; either party to other, written termination notice</x:v>
      </x:c>
      <x:c r="H11" s="15" t="str">
        <x:v>At least 60 days prior to the end of the then-current period, by either party to the other, in writing, for the purpose of preventing automatic renewal/extension (Section 7.1); separately, 30 days written notice to cure a material breach before cancellation for cause (Section 7.2)</x:v>
      </x:c>
      <x:c r="I11" s="15" t="str">
        <x:v>Non-renewal</x:v>
      </x:c>
      <x:c r="J11" s="15" t="str">
        <x:v>non-renewal</x:v>
      </x:c>
      <x:c r="K11" s="15" t="str">
        <x:v>Match</x:v>
      </x:c>
      <x:c r="L11" s="15" t="str">
        <x:v>Yes</x:v>
      </x:c>
      <x:c r="M11" s="15" t="str">
        <x:v>No</x:v>
      </x:c>
      <x:c r="N11" s="15" t="str">
        <x:v>PDF p.3 §7.1; p.4 signature dates</x:v>
      </x:c>
      <x:c r="O11" s="15" t="str"/>
      <x:c r="P11" s="15" t="str">
        <x:v>[PDF page 3] Section 7.1: 'the term of this letter Agreement shall continue for twenty-four (24) months with the effective date unless terminated sooner or extended pursuant to the terms hereof ("Initial Term"). The Initial Term shall automatically be extended for an additional period of half a year unless either party provides the other party with written notification of termination of the letter Agreement at least 60 days prior to end of such period.' [PDF page 5] Appendix 2 section 2.1: 'Contract start: 04-01-06'; section 2.2: 'Contract end: 04-01-08'. [PDF page 4] Signatures: Licensor signed 3/23/06; plan_b signed 03/24/06 — both prior to the April 1, 2006 contract start date stated in Appendix 2; the term clause is based on the Appendix 2 start date, not the act of signing.</x:v>
      </x:c>
      <x:c r="Q11" s="15" t="str">
        <x:v>Match</x:v>
      </x:c>
      <x:c r="R11" s="15" t="str">
        <x:v>Match</x:v>
      </x:c>
      <x:c r="S11" s="15" t="str">
        <x:v>Match</x:v>
      </x:c>
      <x:c r="T11" s="15" t="str">
        <x:v>No queued issue</x:v>
      </x:c>
      <x:c r="U11" s="15" t="str">
        <x:v>Primary reference notice amount, unit, actor and purpose semantically agree. Additional notice rights not assessed for completeness.</x:v>
      </x:c>
    </x:row>
    <x:row r="12" ht="140" customHeight="1">
      <x:c r="A12" s="15" t="n">
        <x:v>7</x:v>
      </x:c>
      <x:c r="B12" s="15" t="str">
        <x:v>EdietsComInc_20001030_10QSB_EX-10.4_2606646_EX-10.4_Co-Branding Agreement.pdf</x:v>
      </x:c>
      <x:c r="C12" s="15" t="str">
        <x:v>Automatic</x:v>
      </x:c>
      <x:c r="D12" s="15" t="str">
        <x:v>Automatic</x:v>
      </x:c>
      <x:c r="E12" s="15" t="str">
        <x:v>Match</x:v>
      </x:c>
      <x:c r="F12" s="15" t="str">
        <x:v>Match</x:v>
      </x:c>
      <x:c r="G12" s="15" t="str">
        <x:v>Either party to other in writing at least 60 days before end of Initial Term</x:v>
      </x:c>
      <x:c r="H12" s="15" t="str">
        <x:v>At least sixty (60) days prior written notice from either party to the other, for the purpose of preventing automatic renewal at the end of the Initial Term, per Section 10.1.</x:v>
      </x:c>
      <x:c r="I12" s="15" t="str">
        <x:v>Non-renewal</x:v>
      </x:c>
      <x:c r="J12" s="15" t="str">
        <x:v>non-renewal</x:v>
      </x:c>
      <x:c r="K12" s="15" t="str">
        <x:v>Match</x:v>
      </x:c>
      <x:c r="L12" s="15" t="str">
        <x:v>Yes</x:v>
      </x:c>
      <x:c r="M12" s="15" t="str">
        <x:v>Yes</x:v>
      </x:c>
      <x:c r="N12" s="15" t="str">
        <x:v>PDF p.1 opening; p.5 §10.1</x:v>
      </x:c>
      <x:c r="O12" s="15" t="str"/>
      <x:c r="P12" s="15" t="str">
        <x:v>[PDF page 1] 'THIS CO-BRANDING AGREEMENT...is made as of May 22, 2000 (the "Effective Date")'; [PDF page 5] Section 10.1: 'This Agreement will become effective as of the Effective Date and...shall remain effective for two (2) years from and after the Effective Date (the "Initial Term"). This agreement shall automatically renew for additional successive terms of twelve (12) months each at the end of the Initial Term ("Renewal Terms"), unless either party notifies the other in writing at least sixty (60) days prior to the end of the Initial Term.'; [PDF page 9] Signatures of both parties present (Bud Ward for Women.com, David R. Humble for eDiets) with no separate execution date stated, consistent with the May 22, 2000 Effective Date.</x:v>
      </x:c>
      <x:c r="Q12" s="15" t="str">
        <x:v>Match</x:v>
      </x:c>
      <x:c r="R12" s="15" t="str">
        <x:v>Match</x:v>
      </x:c>
      <x:c r="S12" s="15" t="str">
        <x:v>Match</x:v>
      </x:c>
      <x:c r="T12" s="15" t="str">
        <x:v>No queued issue</x:v>
      </x:c>
      <x:c r="U12" s="15" t="str">
        <x:v>Primary reference notice amount, unit, actor and purpose semantically agree. Additional notice rights not assessed for completeness.</x:v>
      </x:c>
    </x:row>
    <x:row r="13" ht="140" customHeight="1">
      <x:c r="A13" s="15" t="n">
        <x:v>8</x:v>
      </x:c>
      <x:c r="B13" s="15" t="str">
        <x:v>FuseMedicalInc_20190321_10-K_EX-10.43_11575454_EX-10.43_Distributor Agreement.pdf</x:v>
      </x:c>
      <x:c r="C13" s="15" t="str">
        <x:v>Rolling continuation</x:v>
      </x:c>
      <x:c r="D13" s="15" t="str">
        <x:v>Rolling continuation</x:v>
      </x:c>
      <x:c r="E13" s="15" t="str">
        <x:v>Match</x:v>
      </x:c>
      <x:c r="F13" s="15" t="str">
        <x:v>Match</x:v>
      </x:c>
      <x:c r="G13" s="15" t="str">
        <x:v>Either party to other; at least 12 months’ written notice expiring on or after initial-term expiry</x:v>
      </x:c>
      <x:c r="H13" s="15" t="str">
        <x:v>At least twelve (12) months' prior written notice by either party to the other, to expire on or after the expiry date of the Initial Term, for the purpose of terminating the agreement (clause 11.1)</x:v>
      </x:c>
      <x:c r="I13" s="15" t="str">
        <x:v>Rolling termination</x:v>
      </x:c>
      <x:c r="J13" s="15" t="str">
        <x:v>rolling termination</x:v>
      </x:c>
      <x:c r="K13" s="15" t="str">
        <x:v>Match</x:v>
      </x:c>
      <x:c r="L13" s="15" t="str">
        <x:v>No</x:v>
      </x:c>
      <x:c r="M13" s="15" t="str">
        <x:v>No</x:v>
      </x:c>
      <x:c r="N13" s="15" t="str">
        <x:v>PDF p.1 cover; p.2 Commencement Date; p.10 §11.1</x:v>
      </x:c>
      <x:c r="O13" s="15" t="str"/>
      <x:c r="P13" s="15" t="str">
        <x:v>[PDF page 1] Cover page: 'Dated 29/3/18.' [PDF page 2] 'Commencement Date: means the date of this agreement.' [PDF page 3] 'Year: the period of 12 months from the Commencement Date and each consecutive period of 12 months thereafter during the Term.' [PDF page 10] Clause 11.1: 'This agreement begins on the Commencement Date and, subject to clause 11.2, shall continue for an initial term of one (1) years (Initial Term) and indefinitely after that until terminated by either party giving at least twelve (12) months' prior written notice to expire on or after the expiry date of the initial term.' [PDF page 15] 'This agreement has been entered into on the date stated at the beginning of it.' Signature block on [PDF page 20] contains no dates filled in, but the term clause is based on the Commencement Date (the date of the agreement, stated as 29/3/18 on the cover), not on the act of signing.</x:v>
      </x:c>
      <x:c r="Q13" s="15" t="str">
        <x:v>Match</x:v>
      </x:c>
      <x:c r="R13" s="15" t="str">
        <x:v>Match</x:v>
      </x:c>
      <x:c r="S13" s="15" t="str">
        <x:v>Match</x:v>
      </x:c>
      <x:c r="T13" s="15" t="str">
        <x:v>No queued issue</x:v>
      </x:c>
      <x:c r="U13" s="15" t="str">
        <x:v>Primary reference notice amount, unit, actor and purpose semantically agree. Additional notice rights not assessed for completeness.</x:v>
      </x:c>
    </x:row>
    <x:row r="14" ht="140" customHeight="1">
      <x:c r="A14" s="15" t="n">
        <x:v>9</x:v>
      </x:c>
      <x:c r="B14" s="15" t="str">
        <x:v>GentechHoldingsInc_20190808_1-A_EX1A-6 MAT CTRCT_11776814_EX1A-6 MAT CTRCT_Distributor Agreement.pdf</x:v>
      </x:c>
      <x:c r="C14" s="15" t="str">
        <x:v>Option</x:v>
      </x:c>
      <x:c r="D14" s="15" t="str">
        <x:v>Option</x:v>
      </x:c>
      <x:c r="E14" s="15" t="str">
        <x:v>Match</x:v>
      </x:c>
      <x:c r="F14" s="15" t="str">
        <x:v>Match</x:v>
      </x:c>
      <x:c r="G14" s="15" t="str">
        <x:v>Distributor to Company; prior written notice within 90 days of end of initial term</x:v>
      </x:c>
      <x:c r="H14" s="15" t="str">
        <x:v>90 days prior written notice from Distributor to Company, to be given within 90 days of the end of the initial three-year period, for the purpose of exercising the Distributor's option to renew for an additional three-year period (Section 7(b)). Separately, 90 calendar days' written notice from the non-breaching party to the breaching party is required before termination for uncured material breach (Section 7(c)(ii)); and 90 days' written notice from Company to Distributor is required before any annual price increase (Section 2(b)). These are distinct notices serving different purposes.</x:v>
      </x:c>
      <x:c r="I14" s="15" t="str">
        <x:v>Renewal request</x:v>
      </x:c>
      <x:c r="J14" s="15" t="str">
        <x:v>renewal election</x:v>
      </x:c>
      <x:c r="K14" s="15" t="str">
        <x:v>Match</x:v>
      </x:c>
      <x:c r="L14" s="15" t="str">
        <x:v>Yes</x:v>
      </x:c>
      <x:c r="M14" s="15" t="str">
        <x:v>Yes</x:v>
      </x:c>
      <x:c r="N14" s="15" t="str">
        <x:v>PDF p.1 opening; p.8 §7(a)–(b)</x:v>
      </x:c>
      <x:c r="O14" s="15" t="str">
        <x:v>Contract says prior written notice “within Ninety (90) days of the end”. Model’s “90 days prior” wording may convert an election window into a lead-time requirement.</x:v>
      </x:c>
      <x:c r="P14" s="15" t="str">
        <x:v>[PDF page 1] Preamble: 'made and effective as of 1 August 2019.' [PDF page 8] Section 7(a): 'This Agreement shall become effective on the date first written above and shall continue in effect for a period of Three (3) years.' Section 7(b): 'Distributor shall have the option to renew this Agreement for an additional Three (3) year period by providing prior written notice to Company within Ninety (90) days of the end of the initial period of this Agreement.' Section 7(c)(ii): 90-day cure/termination-for-breach notice. [PDF page 3] Section 2(b): 90-day price-increase notice. [PDF page 13] Signature block: Company signed 'Date: 04th, August, 2019'; Distributor signature date is blank.</x:v>
      </x:c>
      <x:c r="Q14" s="15" t="str">
        <x:v>Match</x:v>
      </x:c>
      <x:c r="R14" s="15" t="str">
        <x:v>Unresolved</x:v>
      </x:c>
      <x:c r="S14" s="15" t="str">
        <x:v>Unresolved</x:v>
      </x:c>
      <x:c r="T14" s="15" t="str">
        <x:v>Needs human review</x:v>
      </x:c>
      <x:c r="U14" s="15" t="str">
        <x:v>Affected notice scoring withheld pending clarification. Category withheld only for IDs 3 and 34. Original comparisons retained.</x:v>
      </x:c>
    </x:row>
    <x:row r="15" ht="140" customHeight="1">
      <x:c r="A15" s="15" t="n">
        <x:v>10</x:v>
      </x:c>
      <x:c r="B15" s="15" t="str">
        <x:v>GlobalTechnologiesGroupInc_20050928_10KSB_EX-10.9_4148808_EX-10.9_Content License Agreement.pdf</x:v>
      </x:c>
      <x:c r="C15" s="15" t="str">
        <x:v>By agreement/amendment</x:v>
      </x:c>
      <x:c r="D15" s="15" t="str">
        <x:v>By agreement/amendment</x:v>
      </x:c>
      <x:c r="E15" s="15" t="str">
        <x:v>Match</x:v>
      </x:c>
      <x:c r="F15" s="15" t="str">
        <x:v>Match</x:v>
      </x:c>
      <x:c r="G15" s="15" t="str">
        <x:v>None stated for extension</x:v>
      </x:c>
      <x:c r="H15" s="15" t="str">
        <x:v>No specific advance notice period stated for renewal or non-renewal; Section 7.1 provides either party may terminate for material breach upon 30 days written notice of the breach (cure period); Section 7.2 provides a reasonable cure period for programming deficiency before termination; Section 7.3 provides immediate termination upon written notice for bankruptcy/insolvency; Section 9.5 provides immediate termination upon written notice if a Force Majeure Event continues more than 10 days — none of these is a renewal notice period</x:v>
      </x:c>
      <x:c r="I15" s="15" t="str">
        <x:v>None stated</x:v>
      </x:c>
      <x:c r="J15" s="15" t="str">
        <x:v>none stated</x:v>
      </x:c>
      <x:c r="K15" s="15" t="str">
        <x:v>Match</x:v>
      </x:c>
      <x:c r="L15" s="15" t="str">
        <x:v>No</x:v>
      </x:c>
      <x:c r="M15" s="15" t="str">
        <x:v>Yes</x:v>
      </x:c>
      <x:c r="N15" s="15" t="str">
        <x:v>PDF p.2 Term and signatures</x:v>
      </x:c>
      <x:c r="O15" s="15" t="str"/>
      <x:c r="P15" s="15" t="str">
        <x:v>[PDF page 2] 'This Agreement is effective as of the last date signed below ("Effective Date"). The initial term of this Agreement will begin on the Effective Date and end twelve (12) months after the Launch (the "Term"). IMNTV will extend the Agreement on the same terms and conditions for additional one-year terms, providing Distributor and IMNTV agree, predicated on satisfactory performance by both parties.' Signatures of both parties dated 13/07/05. [PDF page 3] '"Launch" means the date that the Programming is made generally available for purchase by consumers under the terms and conditions of the Agreement.' [PDF page 12] Exhibit D: 'Starting on October 1, 2005, China Unicom Tianjin intends to charge for the streaming service. The revenue sharing and payment terms between IMNTV and MobileVision takes effect starting on the same date of commercial service.' [PDF page 7] Section 7.1: 'Either party may terminate the Agreement at any time in the event of a material breach by the other party that remains uncured after thirty (30) days written notice of the breach.'</x:v>
      </x:c>
      <x:c r="Q15" s="15" t="str">
        <x:v>Match</x:v>
      </x:c>
      <x:c r="R15" s="15" t="str">
        <x:v>Match</x:v>
      </x:c>
      <x:c r="S15" s="15" t="str">
        <x:v>No advance period preserved</x:v>
      </x:c>
      <x:c r="T15" s="15" t="str">
        <x:v>No queued issue</x:v>
      </x:c>
      <x:c r="U15" s="15" t="str">
        <x:v>No quantified advance renewal notice in reference. Model agrees on this absence or timing. Additional notices not assessed for completeness.</x:v>
      </x:c>
    </x:row>
    <x:row r="16" ht="140" customHeight="1">
      <x:c r="A16" s="15" t="n">
        <x:v>11</x:v>
      </x:c>
      <x:c r="B16" s="15" t="str">
        <x:v>GpaqAcquisitionHoldingsInc_20200123_S-4A_EX-10.6_11951677_EX-10.6_License Agreement.pdf</x:v>
      </x:c>
      <x:c r="C16" s="15" t="str">
        <x:v>Automatic</x:v>
      </x:c>
      <x:c r="D16" s="15" t="str">
        <x:v>Automatic</x:v>
      </x:c>
      <x:c r="E16" s="15" t="str">
        <x:v>Match</x:v>
      </x:c>
      <x:c r="F16" s="15" t="str">
        <x:v>Match</x:v>
      </x:c>
      <x:c r="G16" s="15" t="str">
        <x:v>Either party to other, written intent not to renew at least six months before term expiry</x:v>
      </x:c>
      <x:c r="H16" s="15" t="str">
        <x:v>At least six (6) months prior to expiration of the then-current Term; either Party to the other; purpose: prevent automatic renewal (Section 4.1)</x:v>
      </x:c>
      <x:c r="I16" s="15" t="str">
        <x:v>Non-renewal</x:v>
      </x:c>
      <x:c r="J16" s="15" t="str">
        <x:v>non-renewal</x:v>
      </x:c>
      <x:c r="K16" s="15" t="str">
        <x:v>Match</x:v>
      </x:c>
      <x:c r="L16" s="15" t="str">
        <x:v>No</x:v>
      </x:c>
      <x:c r="M16" s="15" t="str">
        <x:v>Yes</x:v>
      </x:c>
      <x:c r="N16" s="15" t="str">
        <x:v>PDF p.1 opening; p.8 §4.1</x:v>
      </x:c>
      <x:c r="O16" s="15" t="str">
        <x:v>Model says No because Closing date is unknown, but initial term ends explicitly December 31, 2034 and requires six months’ notice. The expiry date is sufficient for initial cutoff calculation.</x:v>
      </x:c>
      <x:c r="P16" s="15" t="str">
        <x:v>[PDF page 1] 'THIS MEDIA LICENSE AGREEMENT...is made and effective as of the date of the Closing (as defined in the Merger Agreement...) (the "Effective Date")'; [PDF page 2] Section 1.4: 'Merger Agreement means that certain Agreement and Plan of Merger, dated September 16, 2019...'; [PDF page 8] Section 4.1: 'the term of this Agreement shall commence on the Effective Date and shall terminate on December 31, 2034...Thereafter, the agreement shall automatically renew for successive five (5)-year terms, unless either Party gives written notice to the other Party of intent not to renew at least six (6) months prior to the expiration of the then-current Term.'; [PDF page 13] Section 7.11: 'in the event that the Closing...does not occur, this Agreement shall be terminated and the provisions herein shall have no force or effect.'; [PDF pages 14-15] Signature page: all date lines blank for PFHOF, HOF Village Media Group LLC, and HOF Village LLC.</x:v>
      </x:c>
      <x:c r="Q16" s="15" t="str">
        <x:v>Match</x:v>
      </x:c>
      <x:c r="R16" s="15" t="str">
        <x:v>Unresolved</x:v>
      </x:c>
      <x:c r="S16" s="15" t="str">
        <x:v>Unresolved</x:v>
      </x:c>
      <x:c r="T16" s="15" t="str">
        <x:v>Needs human review</x:v>
      </x:c>
      <x:c r="U16" s="15" t="str">
        <x:v>Affected notice scoring withheld pending clarification. Category withheld only for IDs 3 and 34. Original comparisons retained.</x:v>
      </x:c>
    </x:row>
    <x:row r="17" ht="140" customHeight="1">
      <x:c r="A17" s="16" t="n">
        <x:v>12</x:v>
      </x:c>
      <x:c r="B17" s="16" t="str">
        <x:v>HfEnterprisesInc_20191223_S-1_EX-10.22_11931299_EX-10.22_Development Agreement.pdf</x:v>
      </x:c>
      <x:c r="C17" s="16" t="str">
        <x:v>Automatic</x:v>
      </x:c>
      <x:c r="D17" s="16" t="str">
        <x:v>Automatic</x:v>
      </x:c>
      <x:c r="E17" s="16" t="str">
        <x:v>Match</x:v>
      </x:c>
      <x:c r="F17" s="16" t="str">
        <x:v>Match</x:v>
      </x:c>
      <x:c r="G17" s="15" t="str">
        <x:v>Either party, 30 days advance notice of termination</x:v>
      </x:c>
      <x:c r="H17" s="15" t="str">
        <x:v>30 days advance written notice by either party to the other to prevent automatic renewal into successive one-month periods (Section 2.1); separately, either party may terminate prior to expiration of the Term upon 30 days prior written notice under Section 2.2.1(i)</x:v>
      </x:c>
      <x:c r="I17" s="15" t="str">
        <x:v>Non-renewal</x:v>
      </x:c>
      <x:c r="J17" s="15" t="str">
        <x:v>rolling termination</x:v>
      </x:c>
      <x:c r="K17" s="15" t="str">
        <x:v>Mismatch</x:v>
      </x:c>
      <x:c r="L17" s="15" t="str">
        <x:v>No</x:v>
      </x:c>
      <x:c r="M17" s="15" t="str">
        <x:v>No</x:v>
      </x:c>
      <x:c r="N17" s="15" t="str">
        <x:v>PDF p.1 opening and §2.1</x:v>
      </x:c>
      <x:c r="O17" s="15" t="str">
        <x:v>Frozen notice classification covers monthly renewal but omits separate §2.2.1 right to terminate before expiry on 30 days’ written notice. Review whether both notice types should be captured.</x:v>
      </x:c>
      <x:c r="P17" s="15" t="str">
        <x:v>[PDF page 1] 'This Outsource Technology Development Agreement...is entered into and effective as of this 1st day of March, 2018 (the "Effective Date")'; [PDF page 1] Section 2.1: 'The initial term of this Agreement shall commence on the Effective Date, and shall continue thereafter for a period of twelve (12) months (the "Initial Term"). The Initial Term shall automatically renew for one-month periods thereafter unless either party provides 30-days advance notice of termination, unless earlier terminated pursuant to Section 2.2 hereof.'; [PDF page 1] Section 2.2.1: 'Either party may terminate this Agreement prior to expiration of the Term: (i) upon thirty (30) days prior written notice...'; [PDF page 5] Signatures of Jeffrey Ronaldi (DSS) and Nathan Lee (HotApp International Ltd.) with no separate date indicated, executed 'as of the date first set forth above' (March 1, 2018).</x:v>
      </x:c>
      <x:c r="Q17" s="15" t="str">
        <x:v>Match</x:v>
      </x:c>
      <x:c r="R17" s="15" t="str">
        <x:v>Mixed types - incomplete label</x:v>
      </x:c>
      <x:c r="S17" s="15" t="str">
        <x:v>Both 30-day rules captured</x:v>
      </x:c>
      <x:c r="T17" s="15" t="str">
        <x:v>Both rules captured in prose</x:v>
      </x:c>
      <x:c r="U17" s="15" t="str">
        <x:v>PDF p.1 §§2.1, 2.2.1: renewal-prevention and early-termination rules both appear in model prose. Single notice_type omits the non-renewal classification. Deadline reasoning not adjudicated.</x:v>
      </x:c>
    </x:row>
    <x:row r="18" ht="140" customHeight="1">
      <x:c r="A18" s="15" t="n">
        <x:v>13</x:v>
      </x:c>
      <x:c r="B18" s="15" t="str">
        <x:v>InmodeLtd_20190729_F-1A_EX-10.9_11743243_EX-10.9_Manufacturing Agreement.pdf</x:v>
      </x:c>
      <x:c r="C18" s="15" t="str">
        <x:v>Automatic</x:v>
      </x:c>
      <x:c r="D18" s="15" t="str">
        <x:v>Automatic</x:v>
      </x:c>
      <x:c r="E18" s="15" t="str">
        <x:v>Match</x:v>
      </x:c>
      <x:c r="F18" s="15" t="str">
        <x:v>Match</x:v>
      </x:c>
      <x:c r="G18" s="15" t="str">
        <x:v>Either party to other in writing at least 90 days before anniversary, requesting no renewal</x:v>
      </x:c>
      <x:c r="H18" s="15" t="str">
        <x:v>At least 90 days prior to the anniversary date, in writing, by either party to the other, to prevent automatic renewal (Section 2)</x:v>
      </x:c>
      <x:c r="I18" s="15" t="str">
        <x:v>Non-renewal</x:v>
      </x:c>
      <x:c r="J18" s="15" t="str">
        <x:v>non-renewal</x:v>
      </x:c>
      <x:c r="K18" s="15" t="str">
        <x:v>Match</x:v>
      </x:c>
      <x:c r="L18" s="15" t="str">
        <x:v>Yes</x:v>
      </x:c>
      <x:c r="M18" s="15" t="str">
        <x:v>Yes</x:v>
      </x:c>
      <x:c r="N18" s="15" t="str">
        <x:v>PDF p.1 opening and §2</x:v>
      </x:c>
      <x:c r="O18" s="15" t="str"/>
      <x:c r="P18" s="15" t="str">
        <x:v>[PDF page 1] 'This Turn-Key Manufacturing Agreement (the "Agreement") is effective as of the 1.4.2011 (the "Effective Date")'; [PDF page 1] Section 2: 'This Agreement shall commence on the Effective Date and shall continue for an initial term of year as of the Effective Date. This Agreement shall automatically be renewed for successive one (1) year increments unless either party request in writing, at least ninety (90) days prior to the anniversary date, that this Agreement not to be renewed.'; [PDF page 9] Section 15.2: 'either party may terminate this Agreement at any time without cause by giving to the other party, not less than four (4) months written notice.'; [PDF page 13] Signature block: Flextronics date and signature lines are blank; Invasix/Customer shows 'Date:' blank, 'Name: MOSHE MIZRAHY', 'Title: CEO', 'Signature: /s/ Moshe Mizrahy'.</x:v>
      </x:c>
      <x:c r="Q18" s="15" t="str">
        <x:v>Match</x:v>
      </x:c>
      <x:c r="R18" s="15" t="str">
        <x:v>Match</x:v>
      </x:c>
      <x:c r="S18" s="15" t="str">
        <x:v>Match</x:v>
      </x:c>
      <x:c r="T18" s="15" t="str">
        <x:v>No queued issue</x:v>
      </x:c>
      <x:c r="U18" s="15" t="str">
        <x:v>Primary reference notice amount, unit, actor and purpose semantically agree. Additional notice rights not assessed for completeness.</x:v>
      </x:c>
    </x:row>
    <x:row r="19" ht="140" customHeight="1">
      <x:c r="A19" s="15" t="n">
        <x:v>14</x:v>
      </x:c>
      <x:c r="B19" s="15" t="str">
        <x:v>KitovPharmaLtd_20190326_20-F_EX-4.15_11584449_EX-4.15_Manufacturing Agreement.pdf</x:v>
      </x:c>
      <x:c r="C19" s="15" t="str">
        <x:v>Automatic</x:v>
      </x:c>
      <x:c r="D19" s="15" t="str">
        <x:v>Automatic</x:v>
      </x:c>
      <x:c r="E19" s="15" t="str">
        <x:v>Match</x:v>
      </x:c>
      <x:c r="F19" s="15" t="str">
        <x:v>Match</x:v>
      </x:c>
      <x:c r="G19" s="15" t="str">
        <x:v>Either party to other, written non-renewal, lead time **** redacted</x:v>
      </x:c>
      <x:c r="H19" s="15" t="str">
        <x:v>At least **** (redacted period) before the end of the Initial Term or a Renewal Term; either Party to the other; purpose: non-renewal to prevent automatic extension (Section 5.1)</x:v>
      </x:c>
      <x:c r="I19" s="15" t="str">
        <x:v>Non-renewal</x:v>
      </x:c>
      <x:c r="J19" s="15" t="str">
        <x:v>non-renewal</x:v>
      </x:c>
      <x:c r="K19" s="15" t="str">
        <x:v>Match</x:v>
      </x:c>
      <x:c r="L19" s="15" t="str">
        <x:v>No</x:v>
      </x:c>
      <x:c r="M19" s="15" t="str">
        <x:v>Yes</x:v>
      </x:c>
      <x:c r="N19" s="15" t="str">
        <x:v>PDF p.2 §1.13; p.4 §1.36; p.9 §5.1; p.18 signatures</x:v>
      </x:c>
      <x:c r="O19" s="15" t="str"/>
      <x:c r="P19" s="15" t="str">
        <x:v>[PDF page 2] Section 1.13: 'Effective Date shall mean the date of signature of the last Party to execute this Agreement.' [PDF page 4] Section 1.36: 'Supply Commencement Date shall mean the date upon which Dexcel makes the first Delivery of the Product to Kitov pursuant to a Confirmed Order.' Section 1.41: 'Year shall mean the twelve (12) months following the Supply Commencement Date and each successive twelve (12) month period commencing on the anniversary of the Supply Commencement Date.' [PDF page 9] Section 5.1: 'The Agreement shall commence on the Effective Date and remain in full force and effect for an initial term of **** from the Supply Commencement Date of the Product ("Initial Term"). Following the Initial Term, the Agreement shall automatically be renewed for additional periods of **** (each, a "Renewal Term"...), unless a Party provides written notification of non-renewal to the other Party at least **** of the Initial Term or a Renewal Term.' [PDF page 18] Signature block: Date lines for both Dexcel and Kitov are blank; execution clause reads 'as of the date first set forth above' but no date is set forth in the agreement header (which states only 'as of the Effective Date').</x:v>
      </x:c>
      <x:c r="Q19" s="15" t="str">
        <x:v>Match</x:v>
      </x:c>
      <x:c r="R19" s="15" t="str">
        <x:v>Match</x:v>
      </x:c>
      <x:c r="S19" s="15" t="str">
        <x:v>Redacted preserved</x:v>
      </x:c>
      <x:c r="T19" s="15" t="str">
        <x:v>No queued issue</x:v>
      </x:c>
      <x:c r="U19" s="15" t="str">
        <x:v>Redacted notice quantity preserved. Not eligible for numeric notice-period scoring.</x:v>
      </x:c>
    </x:row>
    <x:row r="20" ht="140" customHeight="1">
      <x:c r="A20" s="15" t="n">
        <x:v>15</x:v>
      </x:c>
      <x:c r="B20" s="15" t="str">
        <x:v>LeadersonlineInc_20000427_S-1A_EX-10.8_4991089_EX-10.8_Co-Branding Agreement.pdf</x:v>
      </x:c>
      <x:c r="C20" s="15" t="str">
        <x:v>Option</x:v>
      </x:c>
      <x:c r="D20" s="15" t="str">
        <x:v>Option</x:v>
      </x:c>
      <x:c r="E20" s="15" t="str">
        <x:v>Match</x:v>
      </x:c>
      <x:c r="F20" s="15" t="str">
        <x:v>Match</x:v>
      </x:c>
      <x:c r="G20" s="15" t="str">
        <x:v>LeadersOnline to VerticalNet in writing no later than 90 days before initial term expires</x:v>
      </x:c>
      <x:c r="H20" s="15" t="str">
        <x:v>(1) LeadersOnline must give written notice of its election to renew to VerticalNet no later than 90 days prior to expiration of the initial Term; (2) VerticalNet must notify LeadersOnline of its intention to extend within 30 days of receiving LeadersOnline's election notice, or the Agreement terminates</x:v>
      </x:c>
      <x:c r="I20" s="15" t="str">
        <x:v>Renewal request</x:v>
      </x:c>
      <x:c r="J20" s="15" t="str">
        <x:v>renewal election</x:v>
      </x:c>
      <x:c r="K20" s="15" t="str">
        <x:v>Match</x:v>
      </x:c>
      <x:c r="L20" s="15" t="str">
        <x:v>Yes</x:v>
      </x:c>
      <x:c r="M20" s="15" t="str">
        <x:v>Yes</x:v>
      </x:c>
      <x:c r="N20" s="15" t="str">
        <x:v>PDF p.1 opening; p.2 §1.20; p.5 §7.4</x:v>
      </x:c>
      <x:c r="O20" s="15" t="str"/>
      <x:c r="P20" s="15" t="str">
        <x:v>[PDF page 1] 'This Co-Branding Agreement (this "Agreement") dated March 15, 2000 (the "Effective Date")'; [PDF page 2] Section 1.20: 'Term shall mean the Effective Date through June 15, 2001 and any Renewal Term (as defined in paragraph 7.4 herein.)'; [PDF page 5] Section 7.4: 'LeadersOnline shall have the option, subject to VerticalNet's approval exercised in its sole and absolute discretion, to extend the Term of this Agreement for an additional 12 months (a "Renewal Term") on such terms and conditions as may be mutually agreed upon by the Parties. To exercise this option, LeadersOnline must notify VerticalNet in writing of its election no later than 90 days prior to the expiration of the initial Term. Unless VerticalNet notifies LeadersOnline of its intention to extend the initial Term of this Agreement for an additional year within 30 days of receiving such notice the Agreement shall terminate in accordance with the terms hereof.'; [PDF page 9] Signatures of both parties executed 'as of the date first written above' (March 15, 2000).</x:v>
      </x:c>
      <x:c r="Q20" s="15" t="str">
        <x:v>Match</x:v>
      </x:c>
      <x:c r="R20" s="15" t="str">
        <x:v>Match</x:v>
      </x:c>
      <x:c r="S20" s="15" t="str">
        <x:v>Match</x:v>
      </x:c>
      <x:c r="T20" s="15" t="str">
        <x:v>No queued issue</x:v>
      </x:c>
      <x:c r="U20" s="15" t="str">
        <x:v>Primary reference notice amount, unit, actor and purpose semantically agree. Additional notice rights not assessed for completeness.</x:v>
      </x:c>
    </x:row>
    <x:row r="21" ht="140" customHeight="1">
      <x:c r="A21" s="15" t="n">
        <x:v>16</x:v>
      </x:c>
      <x:c r="B21" s="15" t="str">
        <x:v>LegacyEducationAllianceInc_20141110_8-K_EX-10.9_8828866_EX-10.9_Endorsement Agreement.pdf</x:v>
      </x:c>
      <x:c r="C21" s="15" t="str">
        <x:v>By agreement/amendment</x:v>
      </x:c>
      <x:c r="D21" s="15" t="str">
        <x:v>By agreement/amendment</x:v>
      </x:c>
      <x:c r="E21" s="15" t="str">
        <x:v>Match</x:v>
      </x:c>
      <x:c r="F21" s="15" t="str">
        <x:v>Match</x:v>
      </x:c>
      <x:c r="G21" s="15" t="str">
        <x:v>None stated for extension</x:v>
      </x:c>
      <x:c r="H21" s="15" t="str">
        <x:v>No specific advance notice period stated for renewal or non-renewal; clause 8(c) provides that either party may terminate for material breach 'at any time during the Term' upon notice of breach and failure to rectify within a reasonable period</x:v>
      </x:c>
      <x:c r="I21" s="15" t="str">
        <x:v>None stated</x:v>
      </x:c>
      <x:c r="J21" s="15" t="str">
        <x:v>none stated</x:v>
      </x:c>
      <x:c r="K21" s="15" t="str">
        <x:v>Match</x:v>
      </x:c>
      <x:c r="L21" s="15" t="str">
        <x:v>No</x:v>
      </x:c>
      <x:c r="M21" s="15" t="str">
        <x:v>Yes</x:v>
      </x:c>
      <x:c r="N21" s="15" t="str">
        <x:v>PDF p.1 opening and §1; p.2 license/term; p.8 signatures</x:v>
      </x:c>
      <x:c r="O21" s="15" t="str"/>
      <x:c r="P21" s="15" t="str">
        <x:v>[PDF page 1] 'THIS SUPPLEMENTAL AGREEMENT is made as of this _____ day of ______________ 2013'; [PDF page 1] clause 1 definition 1: 'Commencement Date means: 1st January 2013'; [PDF page 2] clause 1 definition 7: 'Term means: 1st January 2013 to 31st December 2013 or until terminated under the provisions of this Agreement or the Primary Agreement'; [PDF page 2] clause 3: 'This Agreement shall be effective as of the date of execution by both parties. The period of license granted shall be for the Term and shall extend for a period of twenty four (24) months or until terminated as per clause 8 herein. It is agreed that the Term may be extended upon mutual agreement between the parties.'; [PDF page 5] clause 8(c): 'Either party may terminate this provision at any time during the Term, in the event either party is guilty of a material breach of this Agreement, having been given notice of such breach and the breach not being rectified within a reasonable period of time.'; [PDF page 8] signature block: 'Date' lines left blank for both parties; [PDF page 8] clause 23: 'the terms of the Primary Agreement shall remain effective at all times and such terms shall take precedence in the event of any conflict between the terms.'</x:v>
      </x:c>
      <x:c r="Q21" s="15" t="str">
        <x:v>Match</x:v>
      </x:c>
      <x:c r="R21" s="15" t="str">
        <x:v>Match</x:v>
      </x:c>
      <x:c r="S21" s="15" t="str">
        <x:v>No advance period preserved</x:v>
      </x:c>
      <x:c r="T21" s="15" t="str">
        <x:v>No queued issue</x:v>
      </x:c>
      <x:c r="U21" s="15" t="str">
        <x:v>No quantified advance renewal notice in reference. Model agrees on this absence or timing. Additional notices not assessed for completeness.</x:v>
      </x:c>
    </x:row>
    <x:row r="22" ht="140" customHeight="1">
      <x:c r="A22" s="15" t="n">
        <x:v>17</x:v>
      </x:c>
      <x:c r="B22" s="15" t="str">
        <x:v>LegacyEducationAllianceInc_20200330_10-K_EX-10.18_12090678_EX-10.18_Development Agreement.pdf</x:v>
      </x:c>
      <x:c r="C22" s="15" t="str">
        <x:v>Automatic</x:v>
      </x:c>
      <x:c r="D22" s="15" t="str">
        <x:v>Automatic</x:v>
      </x:c>
      <x:c r="E22" s="15" t="str">
        <x:v>Match</x:v>
      </x:c>
      <x:c r="F22" s="15" t="str">
        <x:v>Match</x:v>
      </x:c>
      <x:c r="G22" s="15" t="str">
        <x:v>Either party, prior written termination notice not less than 90 days before five-year term end</x:v>
      </x:c>
      <x:c r="H22" s="15" t="str">
        <x:v>Not less than 90 days prior to the end of the then-current five-year term, by either party to the other, for the purpose of preventing automatic renewal (Sections 1.12 and 11.1). Separate termination-for-cause notice: 30-day cure period after written notice of breach (Section 11.2(i)).</x:v>
      </x:c>
      <x:c r="I22" s="15" t="str">
        <x:v>Non-renewal</x:v>
      </x:c>
      <x:c r="J22" s="15" t="str">
        <x:v>non-renewal</x:v>
      </x:c>
      <x:c r="K22" s="15" t="str">
        <x:v>Match</x:v>
      </x:c>
      <x:c r="L22" s="15" t="str">
        <x:v>Yes</x:v>
      </x:c>
      <x:c r="M22" s="15" t="str">
        <x:v>No</x:v>
      </x:c>
      <x:c r="N22" s="15" t="str">
        <x:v>PDF p.1 opening; p.9 §11.1</x:v>
      </x:c>
      <x:c r="O22" s="15" t="str"/>
      <x:c r="P22" s="15" t="str">
        <x:v>[PDF page 1] Agreement 'entered into as of 12-23-2019' (the 'Effective Date'). [PDF page 1/3] Section 1.12: 'The term "Term" shall mean an initial term of five years, automatically renewable thereafter for successive 5-year terms unless either party provides prior written notice of termination not less than 90 days prior to the end of such five-year term.' [PDF page 9] Section 11.1: 'The Term shall commence upon the Effective Date and shall continue for an initial term of five (5) years. The Term shall automatically renew thereafter for successive 5-year terms unless either party provides prior written notice of termination not less than 90 days prior to the end of such five-year term.' [PDF page 13] Signatures of both parties with no separate date noted other than the agreement date; [PDF page 14] Inducement signed by Tarek El Moussa dated 12-23-2019.</x:v>
      </x:c>
      <x:c r="Q22" s="15" t="str">
        <x:v>Match</x:v>
      </x:c>
      <x:c r="R22" s="15" t="str">
        <x:v>Match</x:v>
      </x:c>
      <x:c r="S22" s="15" t="str">
        <x:v>Match</x:v>
      </x:c>
      <x:c r="T22" s="15" t="str">
        <x:v>No queued issue</x:v>
      </x:c>
      <x:c r="U22" s="15" t="str">
        <x:v>Primary reference notice amount, unit, actor and purpose semantically agree. Additional notice rights not assessed for completeness.</x:v>
      </x:c>
    </x:row>
    <x:row r="23" ht="140" customHeight="1">
      <x:c r="A23" s="15" t="n">
        <x:v>18</x:v>
      </x:c>
      <x:c r="B23" s="15" t="str">
        <x:v>MidwestEnergyEmissionsCorp_20080604_8-K_EX-10.2_3093976_EX-10.2_Content License Agreement.pdf</x:v>
      </x:c>
      <x:c r="C23" s="15" t="str">
        <x:v>Automatic</x:v>
      </x:c>
      <x:c r="D23" s="15" t="str">
        <x:v>Automatic</x:v>
      </x:c>
      <x:c r="E23" s="15" t="str">
        <x:v>Match</x:v>
      </x:c>
      <x:c r="F23" s="15" t="str">
        <x:v>Match</x:v>
      </x:c>
      <x:c r="G23" s="15" t="str">
        <x:v>Either party to other, written intention not to renew at least 90 days before then-current expiry</x:v>
      </x:c>
      <x:c r="H23" s="15" t="str">
        <x:v>90 days prior to expiration of the then in-effect term, by either party to the other, to prevent automatic renewal. Separately, 30 days written notice by either party to the other for material breach termination (Section 9A); and 10 days advance notice by COMPANY to CONTENT PROVIDER for termination at COMPANY's unfettered discretion (Section 9B).</x:v>
      </x:c>
      <x:c r="I23" s="15" t="str">
        <x:v>Non-renewal</x:v>
      </x:c>
      <x:c r="J23" s="15" t="str">
        <x:v>non-renewal</x:v>
      </x:c>
      <x:c r="K23" s="15" t="str">
        <x:v>Match</x:v>
      </x:c>
      <x:c r="L23" s="15" t="str">
        <x:v>No</x:v>
      </x:c>
      <x:c r="M23" s="15" t="str">
        <x:v>Yes</x:v>
      </x:c>
      <x:c r="N23" s="15" t="str">
        <x:v>PDF p.1 opening; p.4 term provision</x:v>
      </x:c>
      <x:c r="O23" s="15" t="str"/>
      <x:c r="P23" s="15" t="str">
        <x:v>[PDF page 1] 'THIS AGREEMENT is made as of this 2nd day of June, 2008'; [PDF page 4] Section 8A: 'shall be in full force and effect commencing on the date of execution by both Parties and shall extend for an initial term of two (2) years. This Agreement shall be automatically renewed for additional extended terms each of two (2) years duration unless either party notifies the other in writing of its intention not to renew the Agreement, such notification to be provided at least ninety (90) days prior to the expiration of the then in-effect term.'; [PDF page 4] Section 8B: 'the Term during which COMPANY may use and exploit same shall commence on the date hereof and continue for that period of time which is the longer of: (i) two (2) years following the date on which CONTENT PROVIDER might make full delivery of such Content to COMPANY; and (ii) the duration of the term of the license concerning that Content between CONTENT PROVIDER and its Licensor thereof.'; [PDF page 4] Section 9B: 'COMPANY may, in its unfettered discretion, terminate this Agreement at any time after first giving CONTENT PROVIDER ten (10) days advance notice thereof.'; [PDF pages 9-10] Signatures of Dennis Pelino (NCM, YGP), Beh Chong Wah (TWK), and Jay Rifkin (Digicorp) with no individual dates on signature lines; [PDF page 10] Exhibit A dated 'June 2, 2008'.</x:v>
      </x:c>
      <x:c r="Q23" s="15" t="str">
        <x:v>Match</x:v>
      </x:c>
      <x:c r="R23" s="15" t="str">
        <x:v>Match</x:v>
      </x:c>
      <x:c r="S23" s="15" t="str">
        <x:v>Match</x:v>
      </x:c>
      <x:c r="T23" s="15" t="str">
        <x:v>No queued issue</x:v>
      </x:c>
      <x:c r="U23" s="15" t="str">
        <x:v>Primary reference notice amount, unit, actor and purpose semantically agree. Additional notice rights not assessed for completeness.</x:v>
      </x:c>
    </x:row>
    <x:row r="24" ht="140" customHeight="1">
      <x:c r="A24" s="15" t="n">
        <x:v>19</x:v>
      </x:c>
      <x:c r="B24" s="15" t="str">
        <x:v>MphaseTechnologiesInc_20030911_10-K_EX-10.15_1560667_EX-10.15_Co-Branding Agreement.pdf</x:v>
      </x:c>
      <x:c r="C24" s="15" t="str">
        <x:v>Option</x:v>
      </x:c>
      <x:c r="D24" s="15" t="str">
        <x:v>Option</x:v>
      </x:c>
      <x:c r="E24" s="15" t="str">
        <x:v>Match</x:v>
      </x:c>
      <x:c r="F24" s="15" t="str">
        <x:v>Match</x:v>
      </x:c>
      <x:c r="G24" s="15" t="str">
        <x:v>No fixed renewal-election lead time; either party may terminate with 30 days’ notice before desired termination date</x:v>
      </x:c>
      <x:c r="H24" s="15" t="str">
        <x:v>At least 30 days prior to the desired date of termination, written notice from either party to the other; clause 11: "Either party wishing to terminate the Agreement must give written notice to the other party at least thirty (30) days prior to the desired date of termination."</x:v>
      </x:c>
      <x:c r="I24" s="15" t="str">
        <x:v>Rolling termination</x:v>
      </x:c>
      <x:c r="J24" s="15" t="str">
        <x:v>rolling termination</x:v>
      </x:c>
      <x:c r="K24" s="15" t="str">
        <x:v>Match</x:v>
      </x:c>
      <x:c r="L24" s="15" t="str">
        <x:v>No</x:v>
      </x:c>
      <x:c r="M24" s="15" t="str">
        <x:v>Yes</x:v>
      </x:c>
      <x:c r="N24" s="15" t="str">
        <x:v>PDF p.1 opening; p.2 §11</x:v>
      </x:c>
      <x:c r="O24" s="15" t="str"/>
      <x:c r="P24" s="15" t="str">
        <x:v>[PDF page 1] Opening paragraph: 'This Agreement is made this 21st day of January 2003 by and between Lucent Technologies Inc. ... and mPhase Technologies Inc.' [PDF page 2] Clause 11: 'The Term of this Agreement will commence on the date above, and shall continue for a term of one (1) year. mPhase shall have the right to annually renew this agreement for a period of one year upon each annual expiration with the written consent of Lucent, which written consent shall not be unreasonably withheld. Either party wishing to terminate the Agreement must give written notice to the other party at least thirty (30) days prior to the desired date of termination.' Signatures: Lucent signed 1/28/03; mPhase signed 01/21/03.</x:v>
      </x:c>
      <x:c r="Q24" s="15" t="str">
        <x:v>Match</x:v>
      </x:c>
      <x:c r="R24" s="15" t="str">
        <x:v>Match</x:v>
      </x:c>
      <x:c r="S24" s="15" t="str">
        <x:v>Match</x:v>
      </x:c>
      <x:c r="T24" s="15" t="str">
        <x:v>No queued issue</x:v>
      </x:c>
      <x:c r="U24" s="15" t="str">
        <x:v>Primary reference notice amount, unit, actor and purpose semantically agree. Additional notice rights not assessed for completeness.</x:v>
      </x:c>
    </x:row>
    <x:row r="25" ht="140" customHeight="1">
      <x:c r="A25" s="15" t="n">
        <x:v>20</x:v>
      </x:c>
      <x:c r="B25" s="15" t="str">
        <x:v>MusclepharmCorp_20170208_10-KA_EX-10.38_9893581_EX-10.38_Co-Branding Agreement.pdf</x:v>
      </x:c>
      <x:c r="C25" s="15" t="str">
        <x:v>Conditional</x:v>
      </x:c>
      <x:c r="D25" s="15" t="str">
        <x:v>Conditional</x:v>
      </x:c>
      <x:c r="E25" s="15" t="str">
        <x:v>Match</x:v>
      </x:c>
      <x:c r="F25" s="15" t="str">
        <x:v>Excluded</x:v>
      </x:c>
      <x:c r="G25" s="15" t="str">
        <x:v>No renewal notice stated</x:v>
      </x:c>
      <x:c r="H25" s="15" t="str">
        <x:v>No renewal notice period stated. Termination-for-cause notices: (a) MusclePharm may terminate for Endorser material breach upon 30 days written notice to cure, then written termination notice effective on third calendar day after such notice; (b) MusclePharm may terminate for death/disability upon 15 days prior written notice; (c) AS Parties may terminate for MusclePharm material breach upon 30 days written notice to cure, then written termination notice effective on third calendar day after such notice [PDF pages 13–14, Section 9(a)(ii), 9(a)(iii), 9(b)(v)]</x:v>
      </x:c>
      <x:c r="I25" s="15" t="str">
        <x:v>None stated</x:v>
      </x:c>
      <x:c r="J25" s="15" t="str">
        <x:v>none stated</x:v>
      </x:c>
      <x:c r="K25" s="15" t="str">
        <x:v>Match</x:v>
      </x:c>
      <x:c r="L25" s="15" t="str">
        <x:v>No</x:v>
      </x:c>
      <x:c r="M25" s="15" t="str">
        <x:v>Yes</x:v>
      </x:c>
      <x:c r="N25" s="15" t="str">
        <x:v>PDF p.1 opening; p.2 §1(a)–(c)</x:v>
      </x:c>
      <x:c r="O25" s="15" t="str"/>
      <x:c r="P25" s="15" t="str">
        <x:v>[PDF page 1] 'This ENDORSEMENT LICENSING AND CO-BRANDING AGREEMENT is entered into on July 26, 2013 (the "Effective Date")'; [PDF page 2, Section 1(a)] 'This Agreement shall have an Initial Term of three (3) years. The Term shall commence on July 23, 2013 and shall expire on July 22, 2016'; [PDF page 2, Section 1(b)] 'In the event that MusclePharm shall achieve Net Sales...of $20 million...in the aggregate during the Third Contract Year, then this Agreement shall automatically be renewed for an additional term of three (3) years...'; [PDF page 2, Section 1(c)] 'In the event that MusclePharm shall achieve Net Sales of $50 million...in the aggregate during the sixth Contract Year, then this Agreement shall automatically be renewed for an additional term of three (3) years...'; [PDF page 27] All four parties signed and dated July 26, 2013.</x:v>
      </x:c>
      <x:c r="Q25" s="15" t="str">
        <x:v>Match</x:v>
      </x:c>
      <x:c r="R25" s="15" t="str">
        <x:v>Match</x:v>
      </x:c>
      <x:c r="S25" s="15" t="str">
        <x:v>No advance period preserved</x:v>
      </x:c>
      <x:c r="T25" s="15" t="str">
        <x:v>No queued issue</x:v>
      </x:c>
      <x:c r="U25" s="15" t="str">
        <x:v>No quantified advance renewal notice in reference. Model agrees on this absence or timing. Additional notices not assessed for completeness.</x:v>
      </x:c>
    </x:row>
    <x:row r="26" ht="140" customHeight="1">
      <x:c r="A26" s="15" t="n">
        <x:v>21</x:v>
      </x:c>
      <x:c r="B26" s="15" t="str">
        <x:v>NeoformaInc_19991202_S-1A_EX-10.26_5224521_EX-10.26_Co-Branding Agreement.pdf</x:v>
      </x:c>
      <x:c r="C26" s="15" t="str">
        <x:v>Automatic</x:v>
      </x:c>
      <x:c r="D26" s="15" t="str">
        <x:v>Automatic</x:v>
      </x:c>
      <x:c r="E26" s="15" t="str">
        <x:v>Match</x:v>
      </x:c>
      <x:c r="F26" s="15" t="str">
        <x:v>Match</x:v>
      </x:c>
      <x:c r="G26" s="15" t="str">
        <x:v>Either party to other at least 30 days before initial or current renewal term end</x:v>
      </x:c>
      <x:c r="H26" s="15" t="str">
        <x:v>At least 30 days prior to the end of the Initial Term or then-current Renewal Term; either party to the other; purpose: non-renewal (Termination Notice to prevent automatic renewal)</x:v>
      </x:c>
      <x:c r="I26" s="15" t="str">
        <x:v>Non-renewal</x:v>
      </x:c>
      <x:c r="J26" s="15" t="str">
        <x:v>non-renewal</x:v>
      </x:c>
      <x:c r="K26" s="15" t="str">
        <x:v>Match</x:v>
      </x:c>
      <x:c r="L26" s="15" t="str">
        <x:v>Yes</x:v>
      </x:c>
      <x:c r="M26" s="15" t="str">
        <x:v>No</x:v>
      </x:c>
      <x:c r="N26" s="15" t="str">
        <x:v>PDF p.1 opening and §1.9; p.9 §11.1</x:v>
      </x:c>
      <x:c r="O26" s="15" t="str"/>
      <x:c r="P26" s="15" t="str">
        <x:v>[PDF page 1] 'is dated as of November 19, 1999 (the "Effective Date")'; Section 1.9: 'INITIAL TERM shall mean the Effective Date through the day prior to the second anniversary of the Effective Date, unless earlier terminated pursuant to Section 11'; Section 1.41: 'RENEWAL TERM shall have the meaning ascribed thereto in Section 11.1 [AUTOMATIC RENEWAL]'; [PDF page 9] Section 11.1: 'This Agreement will automatically renew at the end of the Initial Term or a subsequent renewal term on a year to year basis (each, a "Renewal Term"), unless either Party notifies the other at least 30 days prior to the end of the Initial Term or then current Renewal Term, as applicable, of its intention not to renew this Agreement (a "Termination Notice")'; [PDF page 14] Signatures of both parties present with no separate execution date stated, consistent with the 'as of' date of November 19, 1999.</x:v>
      </x:c>
      <x:c r="Q26" s="15" t="str">
        <x:v>Match</x:v>
      </x:c>
      <x:c r="R26" s="15" t="str">
        <x:v>Match</x:v>
      </x:c>
      <x:c r="S26" s="15" t="str">
        <x:v>Match</x:v>
      </x:c>
      <x:c r="T26" s="15" t="str">
        <x:v>No queued issue</x:v>
      </x:c>
      <x:c r="U26" s="15" t="str">
        <x:v>Primary reference notice amount, unit, actor and purpose semantically agree. Additional notice rights not assessed for completeness.</x:v>
      </x:c>
    </x:row>
    <x:row r="27" ht="140" customHeight="1">
      <x:c r="A27" s="15" t="n">
        <x:v>22</x:v>
      </x:c>
      <x:c r="B27" s="15" t="str">
        <x:v>PacificapEntertainmentHoldingsInc_20051115_8-KA_EX-1.01_4300894_EX-1.01_Content License Agreement.pdf</x:v>
      </x:c>
      <x:c r="C27" s="15" t="str">
        <x:v>Automatic</x:v>
      </x:c>
      <x:c r="D27" s="15" t="str">
        <x:v>Automatic</x:v>
      </x:c>
      <x:c r="E27" s="15" t="str">
        <x:v>Match</x:v>
      </x:c>
      <x:c r="F27" s="15" t="str">
        <x:v>Match</x:v>
      </x:c>
      <x:c r="G27" s="15" t="str">
        <x:v>Either party to other, notice at least 60 days before term end</x:v>
      </x:c>
      <x:c r="H27" s="15" t="str">
        <x:v>Not less than 60 days prior to the end of a Term, by either party to the other, for the purpose of preventing automatic renewal/termination of the agreement</x:v>
      </x:c>
      <x:c r="I27" s="15" t="str">
        <x:v>Non-renewal</x:v>
      </x:c>
      <x:c r="J27" s="15" t="str">
        <x:v>non-renewal</x:v>
      </x:c>
      <x:c r="K27" s="15" t="str">
        <x:v>Match</x:v>
      </x:c>
      <x:c r="L27" s="15" t="str">
        <x:v>No</x:v>
      </x:c>
      <x:c r="M27" s="15" t="str">
        <x:v>Yes</x:v>
      </x:c>
      <x:c r="N27" s="15" t="str">
        <x:v>PDF p.1 opening; p.3 Initial Term and Renewals; p.5 signatures</x:v>
      </x:c>
      <x:c r="O27" s="15" t="str"/>
      <x:c r="P27" s="15" t="str">
        <x:v>[PDF page 1] 'THIS CONTENT LICENSE AGREEMENT...is made as of this 3rd day of November, 2005' — recital/agreement date only. [PDF page 3] 'INITIAL TERM AND RENEWALS: This Agreement will become effective as of the last date of signature (Effective Date) and shall...remain effective for an initial term of 10 Years following the first date of public availability of the PACIFICAP ENTERTAINMENT Content within a THE HENRY FILM AND ENTERTAINMENT CORPORATION Property (the "Initial Term"). After the Initial Term, this Agreement will be automatically renewed for successive additional 3-year periods ("Extension Terms"), unless otherwise terminated by either party by giving notice to the other party not less than sixty (60) days prior to the end of a Term.' [PDF page 5] Signature blocks for Ed Litwak (Pacificap Entertainment) and Michael Henry (The Henry Film and Entertainment Corporation) both show blank date lines — no execution dates are filled in. Witness signature also undated.</x:v>
      </x:c>
      <x:c r="Q27" s="15" t="str">
        <x:v>Match</x:v>
      </x:c>
      <x:c r="R27" s="15" t="str">
        <x:v>Match</x:v>
      </x:c>
      <x:c r="S27" s="15" t="str">
        <x:v>Match</x:v>
      </x:c>
      <x:c r="T27" s="15" t="str">
        <x:v>No queued issue</x:v>
      </x:c>
      <x:c r="U27" s="15" t="str">
        <x:v>Primary reference notice amount, unit, actor and purpose semantically agree. Additional notice rights not assessed for completeness.</x:v>
      </x:c>
    </x:row>
    <x:row r="28" ht="140" customHeight="1">
      <x:c r="A28" s="15" t="n">
        <x:v>23</x:v>
      </x:c>
      <x:c r="B28" s="15" t="str">
        <x:v>PapaJohnsInternationalInc_20190617_8-K_EX-10.1_11707365_EX-10.1_Endorsement Agreement.pdf</x:v>
      </x:c>
      <x:c r="C28" s="15" t="str">
        <x:v>By agreement/amendment</x:v>
      </x:c>
      <x:c r="D28" s="15" t="str">
        <x:v>By agreement/amendment</x:v>
      </x:c>
      <x:c r="E28" s="15" t="str">
        <x:v>Match</x:v>
      </x:c>
      <x:c r="F28" s="15" t="str">
        <x:v>Match</x:v>
      </x:c>
      <x:c r="G28" s="15" t="str">
        <x:v>None stated for extension</x:v>
      </x:c>
      <x:c r="H28" s="15" t="str">
        <x:v>No notice period is specified for the one-year extension; extension requires mutual written agreement of both parties (Section 2). Separate operational notices exist (e.g., 30-day cure period for material breach under Sections 7.A and 7.B; 5-business-day cure for payment defaults under Section 7.B; 30-day insurer notice under Section 8.E) but these serve different purposes and are not renewal notices.</x:v>
      </x:c>
      <x:c r="I28" s="15" t="str">
        <x:v>None stated</x:v>
      </x:c>
      <x:c r="J28" s="15" t="str">
        <x:v>none stated</x:v>
      </x:c>
      <x:c r="K28" s="15" t="str">
        <x:v>Match</x:v>
      </x:c>
      <x:c r="L28" s="15" t="str">
        <x:v>No</x:v>
      </x:c>
      <x:c r="M28" s="15" t="str">
        <x:v>Yes</x:v>
      </x:c>
      <x:c r="N28" s="15" t="str">
        <x:v>PDF p.1 opening; p.2 §2</x:v>
      </x:c>
      <x:c r="O28" s="15" t="str"/>
      <x:c r="P28" s="15" t="str">
        <x:v>[PDF page 1] 'made and entered into effective March 15, 2019 (the "Effective Date")'; [PDF page 2] Section 2: 'the initial term of this Agreement ("Term") is the Effective Date through March 15, 2022. The Agreement may be extended for one (1) year upon the parties' mutual agreement in writing, it being specifically understood the services to be performed by CELEBRITY (on behalf of ABG) and remuneration to ABG in connection with the same shall be negotiated in good faith.'; [PDF page 1] Section 1.B: 'Contract Year shall refer to the period commencing on the Effective Date and ending the day before the one year anniversary of the Effective Date'; [PDF page 23] Signature block: PJMF and PJI signed 6/6/19; ABG-Shaq, LLC signed June 11, 2019 — both after the March 15, 2019 Effective Date.</x:v>
      </x:c>
      <x:c r="Q28" s="15" t="str">
        <x:v>Match</x:v>
      </x:c>
      <x:c r="R28" s="15" t="str">
        <x:v>Match</x:v>
      </x:c>
      <x:c r="S28" s="15" t="str">
        <x:v>No advance period preserved</x:v>
      </x:c>
      <x:c r="T28" s="15" t="str">
        <x:v>No queued issue</x:v>
      </x:c>
      <x:c r="U28" s="15" t="str">
        <x:v>No quantified advance renewal notice in reference. Model agrees on this absence or timing. Additional notices not assessed for completeness.</x:v>
      </x:c>
    </x:row>
    <x:row r="29" ht="140" customHeight="1">
      <x:c r="A29" s="15" t="n">
        <x:v>24</x:v>
      </x:c>
      <x:c r="B29" s="15" t="str">
        <x:v>ParatekPharmaceuticalsInc_20170505_10-KA_EX-10.29_10323872_EX-10.29_Outsourcing Agreement.pdf</x:v>
      </x:c>
      <x:c r="C29" s="15" t="str">
        <x:v>Conditional</x:v>
      </x:c>
      <x:c r="D29" s="15" t="str">
        <x:v>Conditional</x:v>
      </x:c>
      <x:c r="E29" s="15" t="str">
        <x:v>Match</x:v>
      </x:c>
      <x:c r="F29" s="15" t="str">
        <x:v>Excluded</x:v>
      </x:c>
      <x:c r="G29" s="15" t="str">
        <x:v>Termination lead times [* * *] redacted for Initial/Renewal Term</x:v>
      </x:c>
      <x:c r="H29" s="15" t="str">
        <x:v>(a) Section 18.1(a): Customer must deliver written notice of termination to Supplier at least [* * *] prior to the expiration date of the Initial Term, effective as of that expiration date. (b) Section 18.1(b): Either Party must deliver written notice of termination to the other at least [* * *] prior to the expiration date of the Renewal Term, effective as of that expiration date. Both notice periods are redacted.</x:v>
      </x:c>
      <x:c r="I29" s="15" t="str">
        <x:v>Non-renewal</x:v>
      </x:c>
      <x:c r="J29" s="15" t="str">
        <x:v>non-renewal</x:v>
      </x:c>
      <x:c r="K29" s="15" t="str">
        <x:v>Match</x:v>
      </x:c>
      <x:c r="L29" s="15" t="str">
        <x:v>No</x:v>
      </x:c>
      <x:c r="M29" s="15" t="str">
        <x:v>Yes</x:v>
      </x:c>
      <x:c r="N29" s="15" t="str">
        <x:v>PDF p.7 opening; p.12 §2.1; p.38 §18.1</x:v>
      </x:c>
      <x:c r="O29" s="15" t="str"/>
      <x:c r="P29" s="15" t="str">
        <x:v>[PDF page 1] Cover page: 'Date: 30 December 2016.' [PDF page 7] Preamble: 'THIS AGREEMENT...dated December 30, 2016 (the "Effective Date").' [PDF page 12] Section 2.1: 'This Agreement shall commence on the Effective Date and shall be valid until the [* * *] (the "Initial Term"). Both Parties shall use reasonably diligent efforts to come to a subsequent long-term agreement...no later than [* * *]...Should the Parties have not agreed to the following agreement by [* * *], this Agreement shall automatically stay in force for a maximum of [* * *] (unless otherwise mutually agreed by the Parties or as otherwise set forth in Section 18.1(a)) or until the Parties have signed the follow-on agreement (the "Renewal Term").' [PDF page 11] Section 1.1(ii): '"Term" means the Initial Term and the Renewal Term, if applicable.' [PDF page 38] Section 18.1(a): 'Customer delivers written notice of termination to Supplier at least [* * *] prior to the expiration date of the Initial Term, which termination shall be effective as of the expiration date of the Initial Term.' Section 18.1(b): 'either Party delivers written notice of termination to the other Party at least [* * *] prior to the expiration date of the Renewal Term, which termination shall be effective as of the expiration date of the Renewal Term.' [PDF page 45] Signatures: Customer signed January 9, 2017; Carbogen Amcis AG signed January 10, 2017.</x:v>
      </x:c>
      <x:c r="Q29" s="15" t="str">
        <x:v>Match</x:v>
      </x:c>
      <x:c r="R29" s="15" t="str">
        <x:v>Match</x:v>
      </x:c>
      <x:c r="S29" s="15" t="str">
        <x:v>Redacted preserved</x:v>
      </x:c>
      <x:c r="T29" s="15" t="str">
        <x:v>No queued issue</x:v>
      </x:c>
      <x:c r="U29" s="15" t="str">
        <x:v>Redacted notice quantity preserved. Not eligible for numeric notice-period scoring.</x:v>
      </x:c>
    </x:row>
    <x:row r="30" ht="140" customHeight="1">
      <x:c r="A30" s="15" t="n">
        <x:v>25</x:v>
      </x:c>
      <x:c r="B30" s="15" t="str">
        <x:v>PfHospitalityGroupInc_20150923_10-12G_EX-10.1_9266710_EX-10.1_Franchise Agreement1.pdf</x:v>
      </x:c>
      <x:c r="C30" s="15" t="str">
        <x:v>Option</x:v>
      </x:c>
      <x:c r="D30" s="15" t="str">
        <x:v>Option</x:v>
      </x:c>
      <x:c r="E30" s="15" t="str">
        <x:v>Match</x:v>
      </x:c>
      <x:c r="F30" s="15" t="str">
        <x:v>Match</x:v>
      </x:c>
      <x:c r="G30" s="15" t="str">
        <x:v>Franchisee to franchisor in writing, not more than 12 and not less than 9 months before expiry</x:v>
      </x:c>
      <x:c r="H30" s="15" t="str">
        <x:v>Not more than 12 months and not less than 9 months before expiration of the then-current term; given by Franchisee to Franchisor; purpose is to exercise the option to continue the franchise relationship for a successor term.</x:v>
      </x:c>
      <x:c r="I30" s="15" t="str">
        <x:v>Renewal request</x:v>
      </x:c>
      <x:c r="J30" s="15" t="str">
        <x:v>renewal election</x:v>
      </x:c>
      <x:c r="K30" s="15" t="str">
        <x:v>Match</x:v>
      </x:c>
      <x:c r="L30" s="15" t="str">
        <x:v>No</x:v>
      </x:c>
      <x:c r="M30" s="15" t="str">
        <x:v>Yes</x:v>
      </x:c>
      <x:c r="N30" s="15" t="str">
        <x:v>PDF p.1 cover; p.3 opening; p.6 §§2.1–2.2</x:v>
      </x:c>
      <x:c r="O30" s="15" t="str"/>
      <x:c r="P30" s="15" t="str">
        <x:v>[PDF page 1] Cover page shows 'Agreement Date' as a blank field and 'Location of the Premises' as blank. [PDF page 6] Section 2.1: 'This Agreement expires ten (10) years from the Agreement Date (the "Term").' Section 2.2: 'you will have the option to continue the franchise relationship with us for two (2) additional terms of ten (10) years each.' Section 2.2.1: 'You must give us written notice of your desire to exercise your option not more than twelve (12) months and not less than nine (9) months before this Agreement expires.' [PDF page 41] Signature page: 'The parties, intending to be legally bound, have entered into this Agreement on the date first written above' — both signature blocks are blank. [PDF page 42] Appendix A: Opening Deadline is blank with note '[Unless, otherwise agreed upon, the Opening Deadline will be nine months after the Agreement Date].'</x:v>
      </x:c>
      <x:c r="Q30" s="15" t="str">
        <x:v>Match</x:v>
      </x:c>
      <x:c r="R30" s="15" t="str">
        <x:v>Match</x:v>
      </x:c>
      <x:c r="S30" s="15" t="str">
        <x:v>Match</x:v>
      </x:c>
      <x:c r="T30" s="15" t="str">
        <x:v>No queued issue</x:v>
      </x:c>
      <x:c r="U30" s="15" t="str">
        <x:v>Primary reference notice amount, unit, actor and purpose semantically agree. Additional notice rights not assessed for completeness.</x:v>
      </x:c>
    </x:row>
    <x:row r="31" ht="140" customHeight="1">
      <x:c r="A31" s="15" t="n">
        <x:v>26</x:v>
      </x:c>
      <x:c r="B31" s="15" t="str">
        <x:v>RaeSystemsInc_20001114_10-Q_EX-10.57_2631790_EX-10.57_Co-Branding Agreement.pdf</x:v>
      </x:c>
      <x:c r="C31" s="15" t="str">
        <x:v>Automatic</x:v>
      </x:c>
      <x:c r="D31" s="15" t="str">
        <x:v>Automatic</x:v>
      </x:c>
      <x:c r="E31" s="15" t="str">
        <x:v>Match</x:v>
      </x:c>
      <x:c r="F31" s="15" t="str">
        <x:v>Match</x:v>
      </x:c>
      <x:c r="G31" s="15" t="str">
        <x:v>No fixed non-renewal notice; NETTAXI may terminate for convenience with 60 days’ prior written notice</x:v>
      </x:c>
      <x:c r="H31" s="15" t="str">
        <x:v>60 days prior written notice by either party to the other for termination for convenience (Section 8.2); no separate non-renewal notice period is stated — termination for convenience at any time upon 60 days notice is the mechanism to prevent renewal</x:v>
      </x:c>
      <x:c r="I31" s="15" t="str">
        <x:v>Rolling termination</x:v>
      </x:c>
      <x:c r="J31" s="15" t="str">
        <x:v>rolling termination</x:v>
      </x:c>
      <x:c r="K31" s="15" t="str">
        <x:v>Match</x:v>
      </x:c>
      <x:c r="L31" s="15" t="str">
        <x:v>No</x:v>
      </x:c>
      <x:c r="M31" s="15" t="str">
        <x:v>No</x:v>
      </x:c>
      <x:c r="N31" s="15" t="str">
        <x:v>PDF p.1 opening; p.4 §§8.1–8.2</x:v>
      </x:c>
      <x:c r="O31" s="15" t="str">
        <x:v>Frozen notice rule names only NETTAXI; §8.2 also permits SpinRecords.com to terminate on 60 days’ written notice. Model party attribution is supported.</x:v>
      </x:c>
      <x:c r="P31" s="15" t="str">
        <x:v>[PDF page 1] 'This CO-BRANDING AGREEMENT...is made and entered into as of Nov 5, 1999, (the "Effective Date")'; [PDF page 4] Section 8.1: 'This Agreement shall be effective upon the Effective Date and shall remain in force for a period of one (1) year, and shall be automatically renewed for successive periods of one (1) year unless otherwise terminated as provided herein.'; Section 8.2: 'NETTAXI may terminate this Agreement at any time for its convenience, for no reason or for any reason, upon sixty (60) days prior written notice to SpinRecords.com...SpinRecords.com may terminate this Agreement for no reason or for any reason upon sixty (60) days prior written notice to NETTAXI.'; [PDF page 6] Signatures of both parties with no separate date indicated, executed 'as of the date and year first above written' (Nov 5, 1999).</x:v>
      </x:c>
      <x:c r="Q31" s="15" t="str">
        <x:v>Match</x:v>
      </x:c>
      <x:c r="R31" s="15" t="str">
        <x:v>Unresolved</x:v>
      </x:c>
      <x:c r="S31" s="15" t="str">
        <x:v>Unresolved</x:v>
      </x:c>
      <x:c r="T31" s="15" t="str">
        <x:v>Needs human review</x:v>
      </x:c>
      <x:c r="U31" s="15" t="str">
        <x:v>Affected notice scoring withheld pending clarification. Category withheld only for IDs 3 and 34. Original comparisons retained.</x:v>
      </x:c>
    </x:row>
    <x:row r="32" ht="140" customHeight="1">
      <x:c r="A32" s="15" t="n">
        <x:v>27</x:v>
      </x:c>
      <x:c r="B32" s="15" t="str">
        <x:v>RandWorldwideInc_20010402_8-KA_EX-10.2_2102464_EX-10.2_Co-Branding Agreement.pdf</x:v>
      </x:c>
      <x:c r="C32" s="15" t="str">
        <x:v>Automatic</x:v>
      </x:c>
      <x:c r="D32" s="15" t="str">
        <x:v>Automatic</x:v>
      </x:c>
      <x:c r="E32" s="15" t="str">
        <x:v>Match</x:v>
      </x:c>
      <x:c r="F32" s="15" t="str">
        <x:v>Match</x:v>
      </x:c>
      <x:c r="G32" s="15" t="str">
        <x:v>Either party at least six months before then-current term expiry; notice form not explicit in §10.1</x:v>
      </x:c>
      <x:c r="H32" s="15" t="str">
        <x:v>At least six months prior to the expiration of the then-current term, by either party, to prevent automatic renewal</x:v>
      </x:c>
      <x:c r="I32" s="15" t="str">
        <x:v>Non-renewal</x:v>
      </x:c>
      <x:c r="J32" s="15" t="str">
        <x:v>non-renewal</x:v>
      </x:c>
      <x:c r="K32" s="15" t="str">
        <x:v>Match</x:v>
      </x:c>
      <x:c r="L32" s="15" t="str">
        <x:v>No</x:v>
      </x:c>
      <x:c r="M32" s="15" t="str">
        <x:v>Yes</x:v>
      </x:c>
      <x:c r="N32" s="15" t="str">
        <x:v>PDF p.1 opening; p.8 §10.1</x:v>
      </x:c>
      <x:c r="O32" s="15" t="str"/>
      <x:c r="P32" s="15" t="str">
        <x:v>[PDF page 1] Agreement 'made as of this November 14, 2000'; [PDF page 2] Section 1.12: 'Effective Date means November 14, 2000'; Section 1.18: 'Launch Date shall mean the date of first log in of a Dassault Systemes Customer for the Co-Branded Service'; Section 1.16: 'Initial Term shall have the meaning set forth in Section 10.1'; [PDF page 8] Section 10.1: 'This Agreement shall be effective as of the Effective Date and shall continue in force for three years from the Launch Date (the Initial Term) unless earlier terminated... The Agreement shall automatically renew for successive one year additional terms unless terminated by either party at least six months prior to the expiration of the then-current term'; Section 10.3: 'this Agreement shall terminate six months from the date on which the parties make a conclusive determination that satisfactory terms could not be reached'; [PDF page 10-11] Signatures of R. Bruce Morgan (PlanetCAD) and Thibault de Tersant (Dassault Systemes), undated, with recital 'effective the day and year first above written' (i.e., November 14, 2000).</x:v>
      </x:c>
      <x:c r="Q32" s="15" t="str">
        <x:v>Match</x:v>
      </x:c>
      <x:c r="R32" s="15" t="str">
        <x:v>Match</x:v>
      </x:c>
      <x:c r="S32" s="15" t="str">
        <x:v>Match</x:v>
      </x:c>
      <x:c r="T32" s="15" t="str">
        <x:v>No queued issue</x:v>
      </x:c>
      <x:c r="U32" s="15" t="str">
        <x:v>Primary reference notice amount, unit, actor and purpose semantically agree. Additional notice rights not assessed for completeness.</x:v>
      </x:c>
    </x:row>
    <x:row r="33" ht="140" customHeight="1">
      <x:c r="A33" s="15" t="n">
        <x:v>28</x:v>
      </x:c>
      <x:c r="B33" s="15" t="str">
        <x:v>RemarkHoldingsInc_20081114_10-Q_EX-10.24_2895649_EX-10.24_Content License Agreement.pdf</x:v>
      </x:c>
      <x:c r="C33" s="15" t="str">
        <x:v>Option</x:v>
      </x:c>
      <x:c r="D33" s="15" t="str">
        <x:v>Option</x:v>
      </x:c>
      <x:c r="E33" s="15" t="str">
        <x:v>Match</x:v>
      </x:c>
      <x:c r="F33" s="15" t="str">
        <x:v>Match</x:v>
      </x:c>
      <x:c r="G33" s="15" t="str">
        <x:v>No fixed election timing in the cited rights clause</x:v>
      </x:c>
      <x:c r="H33" s="15" t="str">
        <x:v>No notice period is specified for renewal or non-renewal of the Agreement or the Translated Content license. Separate operational notices exist: 60-day cure period for material breach (Section 6.2(i)); invoice notice at least [*] days prior to Payment/Advance due dates (Section 4.1(ii)); audit notice of [*] days (Section 5). None of these govern renewal.</x:v>
      </x:c>
      <x:c r="I33" s="15" t="str">
        <x:v>None stated</x:v>
      </x:c>
      <x:c r="J33" s="15" t="str">
        <x:v>none stated</x:v>
      </x:c>
      <x:c r="K33" s="15" t="str">
        <x:v>Match</x:v>
      </x:c>
      <x:c r="L33" s="15" t="str">
        <x:v>No</x:v>
      </x:c>
      <x:c r="M33" s="15" t="str">
        <x:v>Yes</x:v>
      </x:c>
      <x:c r="N33" s="15" t="str">
        <x:v>PDF p.1 opening; p.2 §1.11; p.8 §2.3; p.12 §6.1</x:v>
      </x:c>
      <x:c r="O33" s="15" t="str"/>
      <x:c r="P33" s="15" t="str">
        <x:v>[PDF page 1] Preamble: 'entered into and effective September 17, 2008 (the "Effective Date")'; [PDF page 2] Section 1.11 Delivery Period: 'July 1, 2008 - December 30th, 2009'; [PDF page 12] Section 6.1(i): 'This Agreement shall commence on the Effective Date and...continue in full force and effect through the Delivery Period'; Section 6.1(ii): 'certain license grants for Content, Images and Affinities extend beyond the expiration or earlier termination of this Agreement'; [PDF page 7] Section 2.2(iii): 'The term of the license for the Content delivered to HSWI as part of the Affinities...shall be perpetual, Exclusive, and irrevocable'; [PDF page 8] Section 2.3(ii): 'The term of the license for Translated Content shall be for a term of [*] ([*]) years from the time such Translated Content is first Displayed on an HSWI Website...At the end of such [*] ([*]) year period, HSWI shall have the right to renew the Agreement under materially the same terms or shall have an option to purchase the Translated Content outright'; [PDF page 22] Signature block: 'IN WITNESS WHEREOF, the parties hereto have executed this Agreement as of its Effective Date' — signed by Bradley T. Zimmer (HSWI) and Donald Keller (World Book), no separate signature dates shown.</x:v>
      </x:c>
      <x:c r="Q33" s="15" t="str">
        <x:v>Match</x:v>
      </x:c>
      <x:c r="R33" s="15" t="str">
        <x:v>Match</x:v>
      </x:c>
      <x:c r="S33" s="15" t="str">
        <x:v>No advance period preserved</x:v>
      </x:c>
      <x:c r="T33" s="15" t="str">
        <x:v>No queued issue</x:v>
      </x:c>
      <x:c r="U33" s="15" t="str">
        <x:v>No quantified advance renewal notice in reference. Model agrees on this absence or timing. Additional notices not assessed for completeness.</x:v>
      </x:c>
    </x:row>
    <x:row r="34" ht="140" customHeight="1">
      <x:c r="A34" s="15" t="n">
        <x:v>29</x:v>
      </x:c>
      <x:c r="B34" s="15" t="str">
        <x:v>RitterPharmaceuticalsInc_20200313_S-4A_EX-10.54_12055220_EX-10.54_Development Agreement.pdf</x:v>
      </x:c>
      <x:c r="C34" s="15" t="str">
        <x:v>Automatic</x:v>
      </x:c>
      <x:c r="D34" s="15" t="str">
        <x:v>Automatic</x:v>
      </x:c>
      <x:c r="E34" s="15" t="str">
        <x:v>Match</x:v>
      </x:c>
      <x:c r="F34" s="15" t="str">
        <x:v>Match</x:v>
      </x:c>
      <x:c r="G34" s="15" t="str">
        <x:v>Either party to other, notice of intent to terminate not less than six months before then-current end</x:v>
      </x:c>
      <x:c r="H34" s="15" t="str">
        <x:v>Not less than six (6) months before the end of the then-in-effect term, by either Party to the other, for the purpose of terminating/preventing automatic renewal</x:v>
      </x:c>
      <x:c r="I34" s="15" t="str">
        <x:v>Non-renewal</x:v>
      </x:c>
      <x:c r="J34" s="15" t="str">
        <x:v>non-renewal</x:v>
      </x:c>
      <x:c r="K34" s="15" t="str">
        <x:v>Match</x:v>
      </x:c>
      <x:c r="L34" s="15" t="str">
        <x:v>Yes</x:v>
      </x:c>
      <x:c r="M34" s="15" t="str">
        <x:v>No</x:v>
      </x:c>
      <x:c r="N34" s="15" t="str">
        <x:v>PDF p.1 opening; p.2 §1.9; p.3 §2.2</x:v>
      </x:c>
      <x:c r="O34" s="15" t="str"/>
      <x:c r="P34" s="15" t="str">
        <x:v>[PDF page 1] Agreement 'made and entered into as of May 1, 2016.' [PDF page 2] Section 1.9: 'Effective Date shall mean May 1, 2016.' [PDF page 3] Section 2.2: 'The initial term of this Agreement shall commence on the Effective Date and shall continue for a period of five (5) years unless earlier terminated pursuant to Section 14 hereof (the "Term"). The initial term of this Agreement and any renewal term thereof shall be automatically extended at the end of the initial term and any renewal term thereof for an additional one (1) year period unless either Party notifies the other Party not less than six (6) months before the end of the then in effect term of its intent to terminate this Agreement.' [PDF page 28] Signatures: /s/ Robert T. Schruender (Sekisui) and /s/ Paul A. Rosinack (Qualigen), executed 'as of the date first above written' (May 1, 2016); no separate signature date is stated, and the term clause is based on the defined Effective Date, not on the act of signing.</x:v>
      </x:c>
      <x:c r="Q34" s="15" t="str">
        <x:v>Match</x:v>
      </x:c>
      <x:c r="R34" s="15" t="str">
        <x:v>Match</x:v>
      </x:c>
      <x:c r="S34" s="15" t="str">
        <x:v>Match</x:v>
      </x:c>
      <x:c r="T34" s="15" t="str">
        <x:v>No queued issue</x:v>
      </x:c>
      <x:c r="U34" s="15" t="str">
        <x:v>Primary reference notice amount, unit, actor and purpose semantically agree. Additional notice rights not assessed for completeness.</x:v>
      </x:c>
    </x:row>
    <x:row r="35" ht="140" customHeight="1">
      <x:c r="A35" s="15" t="n">
        <x:v>30</x:v>
      </x:c>
      <x:c r="B35" s="15" t="str">
        <x:v>ScansourceInc_20190822_10-K_EX-10.38_11793958_EX-10.38_Distributor Agreement1.pdf</x:v>
      </x:c>
      <x:c r="C35" s="15" t="str">
        <x:v>Option</x:v>
      </x:c>
      <x:c r="D35" s="15" t="str">
        <x:v>Option</x:v>
      </x:c>
      <x:c r="E35" s="15" t="str">
        <x:v>Match</x:v>
      </x:c>
      <x:c r="F35" s="15" t="str">
        <x:v>Match</x:v>
      </x:c>
      <x:c r="G35" s="15" t="str">
        <x:v>Cisco to Distributor in writing at least 30 days before then-current end for its unilateral option</x:v>
      </x:c>
      <x:c r="H35" s="15" t="str">
        <x:v>At least 30 days prior to the end of the then-current term, given by Cisco to Distributor, for the purpose of extending the term (Section 18.1). Separately, either party may terminate for convenience upon [*****] days prior written notice (Section 18.2 — day-count redacted).</x:v>
      </x:c>
      <x:c r="I35" s="15" t="str">
        <x:v>Renewal request</x:v>
      </x:c>
      <x:c r="J35" s="15" t="str">
        <x:v>renewal election</x:v>
      </x:c>
      <x:c r="K35" s="15" t="str">
        <x:v>Match</x:v>
      </x:c>
      <x:c r="L35" s="15" t="str">
        <x:v>Yes</x:v>
      </x:c>
      <x:c r="M35" s="15" t="str">
        <x:v>Yes</x:v>
      </x:c>
      <x:c r="N35" s="15" t="str">
        <x:v>PDF p.1 opening; p.9 §18.1</x:v>
      </x:c>
      <x:c r="O35" s="15" t="str"/>
      <x:c r="P35" s="15" t="str">
        <x:v>[PDF page 1] Signature block: 'entered into as of the date last written below ("the Effective Date")'; Distributor signed 1/19/07; Cisco signed January 22, 2007 — Effective Date is January 22, 2007 as the later date. [PDF page 9] Section 18.1: 'This Agreement shall commence on the Effective Date and continue thereafter for a period of two (2) years, unless extended by written agreement of both parties or sooner terminated as set forth below. Without prejudice to either party's right to terminate this Agreement as set forth in sub-sections 18.2 to 18.5 below, Cisco may, by written notice to Distributor, given at least thirty (30) days prior to the end of the then-current term of the Agreement, extend the term of the Agreement for the period set forth in such notice, up to a maximum of one (1) year beyond the then-current expiration date.' [PDF page 9] Section 18.2: 'Either party may terminate this Agreement, without cause, by giving the other party [*****] days prior written notice' (day-count redacted).</x:v>
      </x:c>
      <x:c r="Q35" s="15" t="str">
        <x:v>Match</x:v>
      </x:c>
      <x:c r="R35" s="15" t="str">
        <x:v>Match</x:v>
      </x:c>
      <x:c r="S35" s="15" t="str">
        <x:v>Match</x:v>
      </x:c>
      <x:c r="T35" s="15" t="str">
        <x:v>No queued issue</x:v>
      </x:c>
      <x:c r="U35" s="15" t="str">
        <x:v>Primary reference notice amount, unit, actor and purpose semantically agree. Additional notice rights not assessed for completeness.</x:v>
      </x:c>
    </x:row>
    <x:row r="36" ht="140" customHeight="1">
      <x:c r="A36" s="15" t="n">
        <x:v>31</x:v>
      </x:c>
      <x:c r="B36" s="15" t="str">
        <x:v>SigaTechnologiesInc_20190603_8-K_EX-10.1_11695818_EX-10.1_Promotion Agreement.pdf</x:v>
      </x:c>
      <x:c r="C36" s="15" t="str">
        <x:v>Automatic</x:v>
      </x:c>
      <x:c r="D36" s="15" t="str">
        <x:v>Automatic</x:v>
      </x:c>
      <x:c r="E36" s="15" t="str">
        <x:v>Match</x:v>
      </x:c>
      <x:c r="F36" s="15" t="str">
        <x:v>Match</x:v>
      </x:c>
      <x:c r="G36" s="15" t="str">
        <x:v>Either party to other, written non-renewal notice no later than 90 days before applicable term end</x:v>
      </x:c>
      <x:c r="H36" s="15" t="str">
        <x:v>90 days prior written notice of non-renewal by either Party to the other Party, before the end of the Initial Term or any Renewal Term, per Section 11.1. Separately, MMT may terminate for convenience upon [***] months' prior written notice to SIGA per Section 11.5 (day-count redacted).</x:v>
      </x:c>
      <x:c r="I36" s="15" t="str">
        <x:v>Non-renewal</x:v>
      </x:c>
      <x:c r="J36" s="15" t="str">
        <x:v>non-renewal</x:v>
      </x:c>
      <x:c r="K36" s="15" t="str">
        <x:v>Match</x:v>
      </x:c>
      <x:c r="L36" s="15" t="str">
        <x:v>Yes</x:v>
      </x:c>
      <x:c r="M36" s="15" t="str">
        <x:v>No</x:v>
      </x:c>
      <x:c r="N36" s="15" t="str">
        <x:v>PDF p.5 opening; p.39 §11.1</x:v>
      </x:c>
      <x:c r="O36" s="15" t="str"/>
      <x:c r="P36" s="15" t="str">
        <x:v>[PDF page 5] 'This PROMOTION AGREEMENT...is entered into as of May 31, 2019 (the "Effective Date")'; [PDF page 39] Section 11.1: 'This Agreement becomes effective on the Effective Date and, unless earlier terminated as provided in this ARTICLE 11, shall continue until the five (5) year anniversary of the Effective Date (the "Initial Term"). This Agreement shall be automatically renewed for successive three (3) year terms thereafter (each a "Renewal Term"...) until and unless (i) either Party provides the other Party written notice of non-renewal no later than ninety (90) days prior the end of the Initial Term or any Renewal Term or (ii) earlier terminated as provided in this ARTICLE 11.'; [PDF page 40] Section 11.5: 'MMT may at any time terminate this Agreement on country-by-country basis, or in its entirety, upon [***] months\'  prior written notice to SIGA.'; [PDF page 47] Signature page: 'IN WITNESS WHEREOF, the Parties hereto have caused this Agreement to be executed by their duly authorized officers as of the Effective Date.' Signed by /s/ Phillip L. Gomez, III (SIGA CEO) and /s/ Thomas Handel (MMT General Manager and President).</x:v>
      </x:c>
      <x:c r="Q36" s="15" t="str">
        <x:v>Match</x:v>
      </x:c>
      <x:c r="R36" s="15" t="str">
        <x:v>Match</x:v>
      </x:c>
      <x:c r="S36" s="15" t="str">
        <x:v>Match</x:v>
      </x:c>
      <x:c r="T36" s="15" t="str">
        <x:v>No queued issue</x:v>
      </x:c>
      <x:c r="U36" s="15" t="str">
        <x:v>Primary reference notice amount, unit, actor and purpose semantically agree. Additional notice rights not assessed for completeness.</x:v>
      </x:c>
    </x:row>
    <x:row r="37" ht="140" customHeight="1">
      <x:c r="A37" s="16" t="n">
        <x:v>32</x:v>
      </x:c>
      <x:c r="B37" s="16" t="str">
        <x:v>StaarSurgicalCompany_20180801_10-Q_EX-10.37_11289449_EX-10.37_Distributor Agreement.pdf</x:v>
      </x:c>
      <x:c r="C37" s="16" t="str">
        <x:v>By agreement/amendment</x:v>
      </x:c>
      <x:c r="D37" s="16" t="str">
        <x:v>By agreement/amendment</x:v>
      </x:c>
      <x:c r="E37" s="16" t="str">
        <x:v>Match</x:v>
      </x:c>
      <x:c r="F37" s="16" t="str">
        <x:v>Match</x:v>
      </x:c>
      <x:c r="G37" s="15" t="str">
        <x:v>No specified lead time beyond prior to termination date/current renewal end</x:v>
      </x:c>
      <x:c r="H37" s="15" t="str">
        <x:v>90 days prior written notice from either party to the other for termination without cause (Section 14.3); separately, 30 days prior written notice from STAAR to Distributor for product discontinuation (Section 1.5) and price changes (Section 4.1) — these latter two serve operational purposes unrelated to ending or renewing the agreement</x:v>
      </x:c>
      <x:c r="I37" s="15" t="str">
        <x:v>Renewal request</x:v>
      </x:c>
      <x:c r="J37" s="15" t="str">
        <x:v>rolling termination</x:v>
      </x:c>
      <x:c r="K37" s="15" t="str">
        <x:v>Mismatch</x:v>
      </x:c>
      <x:c r="L37" s="15" t="str">
        <x:v>No</x:v>
      </x:c>
      <x:c r="M37" s="15" t="str">
        <x:v>Yes</x:v>
      </x:c>
      <x:c r="N37" s="15" t="str">
        <x:v>PDF p.1 opening; p.3 §3</x:v>
      </x:c>
      <x:c r="O37" s="15" t="str">
        <x:v>Frozen notice classification focuses on mutual renewal agreement and omits either party’s 90-day termination without cause. Proposed reference addition.</x:v>
      </x:c>
      <x:c r="P37" s="15" t="str">
        <x:v>[PDF page 1] 'entered into and made effective as of ____________ (the "Effective Date")' — Effective Date is blank. [PDF page 3] Section 3: 'The term of this Agreement shall commence on the Effective Date and terminate in _____________, on _____________, unless terminated earlier... this Agreement may be renewed for successive one (1) year periods if STAAR and Distributor expressly agree in writing and in their sole discretion to renew this Agreement prior to the foregoing termination date or any successive renewal term.' — both term-end blanks unfilled. [PDF page 10] Section 14.3: 'either party shall have the right to terminate this Agreement, without cause, upon no less than ninety (90) days' prior written notice to the other party.' — rolling termination right. [PDF page 15] Signature block: 'executed... on this __ day of ____, 20___' — signature date blank for both parties.</x:v>
      </x:c>
      <x:c r="Q37" s="15" t="str">
        <x:v>Match</x:v>
      </x:c>
      <x:c r="R37" s="15" t="str">
        <x:v>Unresolved</x:v>
      </x:c>
      <x:c r="S37" s="15" t="str">
        <x:v>Unresolved</x:v>
      </x:c>
      <x:c r="T37" s="15" t="str">
        <x:v>Needs human review</x:v>
      </x:c>
      <x:c r="U37" s="15" t="str">
        <x:v>Affected notice scoring withheld pending clarification. Category withheld only for IDs 3 and 34. Original comparisons retained.</x:v>
      </x:c>
    </x:row>
    <x:row r="38" ht="140" customHeight="1">
      <x:c r="A38" s="16" t="n">
        <x:v>33</x:v>
      </x:c>
      <x:c r="B38" s="16" t="str">
        <x:v>SteelVaultCorp_20081224_10-K_EX-10.16_3074935_EX-10.16_Affiliate Agreement.pdf</x:v>
      </x:c>
      <x:c r="C38" s="16" t="str">
        <x:v>Automatic</x:v>
      </x:c>
      <x:c r="D38" s="16" t="str">
        <x:v>Automatic</x:v>
      </x:c>
      <x:c r="E38" s="16" t="str">
        <x:v>Match</x:v>
      </x:c>
      <x:c r="F38" s="16" t="str">
        <x:v>Match</x:v>
      </x:c>
      <x:c r="G38" s="15" t="str">
        <x:v>No renewal-specific notice stated</x:v>
      </x:c>
      <x:c r="H38" s="15" t="str">
        <x:v>30 days written notice by either party with cause, per Section 7.2: 'This Agreement may be terminated by either party with cause upon thirty (30) days written notice.' Equidata may terminate immediately without notice upon Marketing Affiliate's default in payment or other breach.</x:v>
      </x:c>
      <x:c r="I38" s="15" t="str">
        <x:v>None stated</x:v>
      </x:c>
      <x:c r="J38" s="15" t="str">
        <x:v>rolling termination</x:v>
      </x:c>
      <x:c r="K38" s="15" t="str">
        <x:v>Mismatch</x:v>
      </x:c>
      <x:c r="L38" s="15" t="str">
        <x:v>No</x:v>
      </x:c>
      <x:c r="M38" s="15" t="str">
        <x:v>No</x:v>
      </x:c>
      <x:c r="N38" s="15" t="str">
        <x:v>PDF p.1 opening; p.2 §7.1</x:v>
      </x:c>
      <x:c r="O38" s="15" t="str">
        <x:v>§7.2 notice is expressly termination WITH CAUSE. Model labels it rolling termination; frozen renewal-relevant notice label is none stated.</x:v>
      </x:c>
      <x:c r="P38" s="15" t="str">
        <x:v>[PDF page 1] 'This Agreement is made this 1st day of October 2008, (the "Effective Date")'; [PDF page 2] Section 7: 'This Agreement commences on the Effective Date, and terminates...upon the earliest of termination in accordance with the following.'; Section 7.1: 'This Agreement shall be for the term of one year; thereafter, the Agreement shall renew automatically under these same terms and agreements unless superceded by future agreements.'; Section 7.2: 'This Agreement may be terminated by either party with cause upon thirty (30) days written notice. Upon Marketing Affiliate's default in payment or other breach of this Agreement, Equidata may terminate this Agreement without notice to Marketing Affiliate.'; [PDF page 4] Signatures: /s/ Kitty Chase (Equidata SVP) and /s/ Ivan Posniak (Marketing Affiliate CEO), no separate signature date stated.</x:v>
      </x:c>
      <x:c r="Q38" s="15" t="str">
        <x:v>Match</x:v>
      </x:c>
      <x:c r="R38" s="15" t="str">
        <x:v>Unresolved</x:v>
      </x:c>
      <x:c r="S38" s="15" t="str">
        <x:v>Unresolved</x:v>
      </x:c>
      <x:c r="T38" s="15" t="str">
        <x:v>Needs human review</x:v>
      </x:c>
      <x:c r="U38" s="15" t="str">
        <x:v>Affected notice scoring withheld pending clarification. Category withheld only for IDs 3 and 34. Original comparisons retained.</x:v>
      </x:c>
    </x:row>
    <x:row r="39" ht="140" customHeight="1">
      <x:c r="A39" s="16" t="n">
        <x:v>34</x:v>
      </x:c>
      <x:c r="B39" s="16" t="str">
        <x:v>TodosMedicalLtd_20190328_20-F_EX-4.10_11587157_EX-4.10_Marketing Agreement_ Reseller Agreement.pdf</x:v>
      </x:c>
      <x:c r="C39" s="16" t="str">
        <x:v>Conditional</x:v>
      </x:c>
      <x:c r="D39" s="16" t="str">
        <x:v>Automatic</x:v>
      </x:c>
      <x:c r="E39" s="16" t="str">
        <x:v>Mismatch</x:v>
      </x:c>
      <x:c r="F39" s="16" t="str">
        <x:v>Excluded</x:v>
      </x:c>
      <x:c r="G39" s="15" t="str">
        <x:v>Either party to other in writing at least 60 days before then-current renewal term expiry</x:v>
      </x:c>
      <x:c r="H39" s="15" t="str">
        <x:v>At least sixty (60) days prior written notice of non-renewal from either party to the other, before the expiration of the then-current renewal term (applicable to the two-year renewal cycles following the first renewal)</x:v>
      </x:c>
      <x:c r="I39" s="15" t="str">
        <x:v>Non-renewal</x:v>
      </x:c>
      <x:c r="J39" s="15" t="str">
        <x:v>non-renewal</x:v>
      </x:c>
      <x:c r="K39" s="15" t="str">
        <x:v>Match</x:v>
      </x:c>
      <x:c r="L39" s="15" t="str">
        <x:v>No</x:v>
      </x:c>
      <x:c r="M39" s="15" t="str">
        <x:v>Yes</x:v>
      </x:c>
      <x:c r="N39" s="15" t="str">
        <x:v>PDF p.1 opening; p.8 §11.1</x:v>
      </x:c>
      <x:c r="O39" s="15" t="str">
        <x:v>Initial five-year extension requires Annual Milestones. Frozen label Conditional; model Automatic appears to emphasize later two-year automatic renewals.</x:v>
      </x:c>
      <x:c r="P39" s="15" t="str">
        <x:v>[PDF page 1] 'THIS AGREEMENT is made and entered into this 20th day of December 2018 (the "Effective Date")'; [PDF page 11] Signatures of both parties dated 20/12/2018; [PDF page 8] Section 11.1: 'This Agreement shall be effective as of the Effective Date and shall continue in effect for a period of five (5) years from the Reseller's first purchase order for Product issued to Todos (the "Initial Term"), unless terminated earlier by one of the parties in accordance with the terms of this Section 11. Upon completion of the Initial Term, provided that the Reseller has achieved the Annual Milestones, the term of the Agreement shall be automatically renewed for an additional five (5) years. Thereafter, at the end of each renewal term, the Agreement shall renew for an additional two (2) years unless one party provides the other party with prior written notice of non-renewal at least sixty (60) days prior to the expiration of the then-current term.'</x:v>
      </x:c>
      <x:c r="Q39" s="15" t="str">
        <x:v>Unresolved</x:v>
      </x:c>
      <x:c r="R39" s="15" t="str">
        <x:v>Unresolved</x:v>
      </x:c>
      <x:c r="S39" s="15" t="str">
        <x:v>Unresolved</x:v>
      </x:c>
      <x:c r="T39" s="15" t="str">
        <x:v>Needs human review</x:v>
      </x:c>
      <x:c r="U39" s="15" t="str">
        <x:v>Affected notice scoring withheld pending clarification. Category withheld only for IDs 3 and 34. Original comparisons retained.</x:v>
      </x:c>
    </x:row>
    <x:row r="40" ht="140" customHeight="1">
      <x:c r="A40" s="15" t="n">
        <x:v>35</x:v>
      </x:c>
      <x:c r="B40" s="15" t="str">
        <x:v>TubeMediaCorp_20060310_8-K_EX-10.1_513921_EX-10.1_Affiliate Agreement.pdf</x:v>
      </x:c>
      <x:c r="C40" s="15" t="str">
        <x:v>Automatic</x:v>
      </x:c>
      <x:c r="D40" s="15" t="str">
        <x:v>Automatic</x:v>
      </x:c>
      <x:c r="E40" s="15" t="str">
        <x:v>Match</x:v>
      </x:c>
      <x:c r="F40" s="15" t="str">
        <x:v>Match</x:v>
      </x:c>
      <x:c r="G40" s="15" t="str">
        <x:v>Affiliate to Network, at least six months before expiration, written desire to terminate</x:v>
      </x:c>
      <x:c r="H40" s="15" t="str">
        <x:v>At least six (6) months before the expiration date, Affiliate must notify Network of its desire that the Agreement terminate; this is the non-renewal notice from Affiliate to Network to prevent automatic renewal, per Section 2(b). Separately, Network may terminate the Agreement in its entirety on at least ninety (90) days' prior notice to Affiliate (Network to Affiliate, discontinuation of Service, Section 10(b)). Separately, either party may terminate for material breach on thirty (30) days' prior notice with a thirty (30)-day cure period (Sections 10(a) and 10(d)).</x:v>
      </x:c>
      <x:c r="I40" s="15" t="str">
        <x:v>Non-renewal</x:v>
      </x:c>
      <x:c r="J40" s="15" t="str">
        <x:v>non-renewal</x:v>
      </x:c>
      <x:c r="K40" s="15" t="str">
        <x:v>Match</x:v>
      </x:c>
      <x:c r="L40" s="15" t="str">
        <x:v>Yes</x:v>
      </x:c>
      <x:c r="M40" s="15" t="str">
        <x:v>No</x:v>
      </x:c>
      <x:c r="N40" s="15" t="str">
        <x:v>PDF p.1 opening; pp.2–3 §2(a)–(c)</x:v>
      </x:c>
      <x:c r="O40" s="15" t="str"/>
      <x:c r="P40" s="15" t="str">
        <x:v>[PDF page 1] Preamble: 'made as of the 6th day of March, 2006 (the "Effective Date").' [PDF page 2] Section 2(a): 'The "Initial Term" shall commence upon the Effective Date and shall expire on March 31, 2011.' Section 2(b): 'If Affiliate fails to notify Network of its desire that this Agreement terminate on its expiration date, at least six (6) months before the expiration date, this Agreement will automatically renew, upon the same terms and conditions, for an additional four (4)-year period ("Renewal Term").' Section 2(c): exclusive negotiation period for further renewal ends six (6) months before expiration of the Term. [PDF page 13] Section 10(b): Network may terminate on at least ninety (90) days' prior notice. Sections 10(a) and 10(d): 30-day notice with 30-day cure for material breach. [PDF page 18] Signature page: 'The parties hereto have executed this Agreement to be effective as of the Effective Date.' Signed by /s/ John E. Reardon (Affiliate) and /s/ Les Garland (Network), no separate signature dates shown.</x:v>
      </x:c>
      <x:c r="Q40" s="15" t="str">
        <x:v>Match</x:v>
      </x:c>
      <x:c r="R40" s="15" t="str">
        <x:v>Match</x:v>
      </x:c>
      <x:c r="S40" s="15" t="str">
        <x:v>Match</x:v>
      </x:c>
      <x:c r="T40" s="15" t="str">
        <x:v>No queued issue</x:v>
      </x:c>
      <x:c r="U40" s="15" t="str">
        <x:v>Primary reference notice amount, unit, actor and purpose semantically agree. Additional notice rights not assessed for completeness.</x:v>
      </x:c>
    </x:row>
    <x:row r="41" ht="140" customHeight="1">
      <x:c r="A41" s="15" t="n">
        <x:v>36</x:v>
      </x:c>
      <x:c r="B41" s="15" t="str">
        <x:v>UsioInc_20040428_SB-2_EX-10.11_1723988_EX-10.11_Affiliate Agreement 2.pdf</x:v>
      </x:c>
      <x:c r="C41" s="15" t="str">
        <x:v>Automatic</x:v>
      </x:c>
      <x:c r="D41" s="15" t="str">
        <x:v>Automatic</x:v>
      </x:c>
      <x:c r="E41" s="15" t="str">
        <x:v>Match</x:v>
      </x:c>
      <x:c r="F41" s="15" t="str">
        <x:v>Match</x:v>
      </x:c>
      <x:c r="G41" s="15" t="str">
        <x:v>Either party to other; 30 days written notice not to renew</x:v>
      </x:c>
      <x:c r="H41" s="15" t="str">
        <x:v>30 days written notice by either party to the other of non-renewal; purpose: to prevent automatic renewal for successive one-year terms</x:v>
      </x:c>
      <x:c r="I41" s="15" t="str">
        <x:v>Non-renewal</x:v>
      </x:c>
      <x:c r="J41" s="15" t="str">
        <x:v>non-renewal</x:v>
      </x:c>
      <x:c r="K41" s="15" t="str">
        <x:v>Match</x:v>
      </x:c>
      <x:c r="L41" s="15" t="str">
        <x:v>No</x:v>
      </x:c>
      <x:c r="M41" s="15" t="str">
        <x:v>Yes</x:v>
      </x:c>
      <x:c r="N41" s="15" t="str">
        <x:v>PDF p.4 §5.01; p.6 execution blanks</x:v>
      </x:c>
      <x:c r="O41" s="15" t="str"/>
      <x:c r="P41" s="15" t="str">
        <x:v>[PDF page 5] Section 5.01: 'The term ("Term") of this Agreement shall be for one hundred eighty days (180) from the date set forth below unless Network 1 or Visa or MasterCard or Harris Bank doesn't approve Affiliate's ISO application, in which case, the Term will be 3 years. This Agreement will automatically renew for successive one-year terms unless terminated by either party by providing the other with 30 days written notice that this Agreement will not be renewed or Affiliate enters into a Processing agreement with Network 1 and an ISO Sponsorship agreement with Harris Bank in which case this Agreement will automatically terminate concurrent with the execution of such agreements.' [PDF page 6] Signature block: 'EXECUTED this ________ day of ______________________, in the year ____________.' — date left entirely blank; no signatures present.</x:v>
      </x:c>
      <x:c r="Q41" s="15" t="str">
        <x:v>Match</x:v>
      </x:c>
      <x:c r="R41" s="15" t="str">
        <x:v>Match</x:v>
      </x:c>
      <x:c r="S41" s="15" t="str">
        <x:v>Match</x:v>
      </x:c>
      <x:c r="T41" s="15" t="str">
        <x:v>No queued issue</x:v>
      </x:c>
      <x:c r="U41" s="15" t="str">
        <x:v>Primary reference notice amount, unit, actor and purpose semantically agree. Additional notice rights not assessed for completeness.</x:v>
      </x:c>
    </x:row>
    <x:row r="42" ht="140" customHeight="1">
      <x:c r="A42" s="15" t="n">
        <x:v>37</x:v>
      </x:c>
      <x:c r="B42" s="15" t="str">
        <x:v>VertexEnergyInc_20200113_8-K_EX-10.1_11943624_EX-10.1_Marketing Agreement.pdf</x:v>
      </x:c>
      <x:c r="C42" s="15" t="str">
        <x:v>Automatic</x:v>
      </x:c>
      <x:c r="D42" s="15" t="str">
        <x:v>Automatic</x:v>
      </x:c>
      <x:c r="E42" s="15" t="str">
        <x:v>Match</x:v>
      </x:c>
      <x:c r="F42" s="15" t="str">
        <x:v>Match</x:v>
      </x:c>
      <x:c r="G42" s="15" t="str">
        <x:v>Either party to other, written non-renewal no less than 120 [unit omitted] before applicable expiry</x:v>
      </x:c>
      <x:c r="H42" s="15" t="str">
        <x:v>No less than 120 days prior to the applicable expiry date (end of the Term or any Renewal Term), by either Party to the other, for the purpose of preventing automatic renewal (non-renewal notice under Section 5.2). Separately, Section 2.1 provides Vertex with a right to give a 'Withdrawal Notice' of not less than 120 days to remove Output from JSMA coverage — this is an operational notice unrelated to terminating or renewing the agreement. Section 5.3 provides a 10-day cure period (extendable up to 30 days) after written notice of default from the Non-Defaulting Party — this is a termination-for-cause notice unrelated to renewal.</x:v>
      </x:c>
      <x:c r="I42" s="15" t="str">
        <x:v>Non-renewal</x:v>
      </x:c>
      <x:c r="J42" s="15" t="str">
        <x:v>non-renewal</x:v>
      </x:c>
      <x:c r="K42" s="15" t="str">
        <x:v>Match</x:v>
      </x:c>
      <x:c r="L42" s="15" t="str">
        <x:v>Yes</x:v>
      </x:c>
      <x:c r="M42" s="15" t="str">
        <x:v>Yes</x:v>
      </x:c>
      <x:c r="N42" s="15" t="str">
        <x:v>PDF p.2 Effective Date definition; p.8 §§5.1–5.2; p.15 signatures</x:v>
      </x:c>
      <x:c r="O42" s="15" t="str">
        <x:v>§5.2 literally says “no less than 120 prior”, without a unit. Model supplies “days”. §5.4 separately says 120 days for unwinding. Clarification needed before exact-period/deadline scoring.</x:v>
      </x:c>
      <x:c r="P42" s="15" t="str">
        <x:v>[PDF page 1] 'This Joint Supply and Marketing Agreement...shall be effective as of May 1, 2020 "the Commencement Date" and is made and entered into this 10th day of January, 2020.' [PDF page 2] '"Effective Date" means the date as of which the last signature of a Party is affixed hereto.' [PDF page 8] Section 5.1: 'The term of this JSMA shall commence on May 1, 2020 (the "Commencement Date") and ends at April 30, 2029 (the "Term"), with automatic renewals each for a period of five (5) years (a "Renewal Term") unless notice is given pursuant to 5.2.' Section 5.2: 'This JSMA will be terminated as of the end of the Term or any Renewal Term, by either Party giving written notice of non-renewal to the other Party no less than 120 prior to the applicable expiry date (the "Termination Period").' [PDF page 15] Signature page: Bunker One signed by Sara Shipman Myers; Vertex Energy Operating, LLC signature block shows 'Name: Ben Cowart' but no visible signature or date.</x:v>
      </x:c>
      <x:c r="Q42" s="15" t="str">
        <x:v>Match</x:v>
      </x:c>
      <x:c r="R42" s="15" t="str">
        <x:v>Unresolved</x:v>
      </x:c>
      <x:c r="S42" s="15" t="str">
        <x:v>Unresolved</x:v>
      </x:c>
      <x:c r="T42" s="15" t="str">
        <x:v>Needs human review</x:v>
      </x:c>
      <x:c r="U42" s="15" t="str">
        <x:v>Affected notice scoring withheld pending clarification. Category withheld only for IDs 3 and 34. Original comparisons retained.</x:v>
      </x:c>
    </x:row>
    <x:row r="43" ht="140" customHeight="1">
      <x:c r="A43" s="16" t="n">
        <x:v>38</x:v>
      </x:c>
      <x:c r="B43" s="16" t="str">
        <x:v>VitalibisInc_20180316_8-K_EX-10.2_11100168_EX-10.2_Hosting Agreement.pdf</x:v>
      </x:c>
      <x:c r="C43" s="16" t="str">
        <x:v>Automatic</x:v>
      </x:c>
      <x:c r="D43" s="16" t="str">
        <x:v>Automatic</x:v>
      </x:c>
      <x:c r="E43" s="16" t="str">
        <x:v>Match</x:v>
      </x:c>
      <x:c r="F43" s="16" t="str">
        <x:v>Match</x:v>
      </x:c>
      <x:c r="G43" s="15" t="str">
        <x:v>Either party to other, written notice at least 180 days before current term expiry; separate Licensee rolling termination right</x:v>
      </x:c>
      <x:c r="H43" s="15" t="str">
        <x:v>At least 180 days prior written notice from either Party to the other, for non-renewal before expiration of the Initial Term or then-current Renewal Term; also, Licensee may give at least 180 days written notice at any time to terminate with no further obligation (Section 10.1)</x:v>
      </x:c>
      <x:c r="I43" s="15" t="str">
        <x:v>Non-renewal</x:v>
      </x:c>
      <x:c r="J43" s="15" t="str">
        <x:v>unclear</x:v>
      </x:c>
      <x:c r="K43" s="15" t="str">
        <x:v>Mismatch</x:v>
      </x:c>
      <x:c r="L43" s="15" t="str">
        <x:v>No</x:v>
      </x:c>
      <x:c r="M43" s="15" t="str">
        <x:v>Yes</x:v>
      </x:c>
      <x:c r="N43" s="15" t="str">
        <x:v>PDF p.5 §10.1; p.8 §11.16 and signature dates</x:v>
      </x:c>
      <x:c r="O43" s="15" t="str">
        <x:v>Frozen notice type non-renewal; model unclear. §10.1 includes both 180-day pre-expiry notice and a Licensee termination right regardless of term. Review scope and acceptable classification.</x:v>
      </x:c>
      <x:c r="P43" s="15" t="str">
        <x:v>[PDF page 5] Section 10.1: 'This Agreement shall commence as of the Effective Date and shall continue in effect for one (1) year... (the Initial Term). This Agreement shall automatically renew beyond the Initial Term for successive one (1) year terms (each, a Renewal Term), unless a Party provides the other with written notice of termination at least one hundred eighty (180) days prior to the expiration of the Initial Term or the then-current Renewal Term. Regardless of the term, Licensee can terminate Agreement with at least one hundred eighty (180) days written notice with no further obligation.' [PDF page 8] Section 11.16: 'The Effective Date of this Agreement shall be the later of the dates shown by the signatures below.' Signatures: VITALIBIS dated 3-14-18, VOTOCAST dated 3-7-18. [PDF page 13] Exhibit D SOW template recites Effective Date as 'March 7th, 2018.'</x:v>
      </x:c>
      <x:c r="Q43" s="15" t="str">
        <x:v>Match</x:v>
      </x:c>
      <x:c r="R43" s="15" t="str">
        <x:v>Unresolved</x:v>
      </x:c>
      <x:c r="S43" s="15" t="str">
        <x:v>Unresolved</x:v>
      </x:c>
      <x:c r="T43" s="15" t="str">
        <x:v>Needs human review</x:v>
      </x:c>
      <x:c r="U43" s="15" t="str">
        <x:v>Affected notice scoring withheld pending clarification. Category withheld only for IDs 3 and 34. Original comparisons retained.</x:v>
      </x:c>
    </x:row>
    <x:row r="44" ht="140" customHeight="1">
      <x:c r="A44" s="15" t="n">
        <x:v>39</x:v>
      </x:c>
      <x:c r="B44" s="15" t="str">
        <x:v>WaterNowInc_20191120_10-Q_EX-10.12_11900227_EX-10.12_Distributor Agreement.pdf</x:v>
      </x:c>
      <x:c r="C44" s="15" t="str">
        <x:v>Automatic</x:v>
      </x:c>
      <x:c r="D44" s="15" t="str">
        <x:v>Automatic</x:v>
      </x:c>
      <x:c r="E44" s="15" t="str">
        <x:v>Match</x:v>
      </x:c>
      <x:c r="F44" s="15" t="str">
        <x:v>Match</x:v>
      </x:c>
      <x:c r="G44" s="15" t="str">
        <x:v>Either party to other, written desire to terminate at least 120 days before Initial Term or renewal end</x:v>
      </x:c>
      <x:c r="H44" s="15" t="str">
        <x:v>At least 120 days prior to the end of the Initial Term or any renewal period; either Party to the other; purpose: to prevent automatic renewal/terminate the agreement</x:v>
      </x:c>
      <x:c r="I44" s="15" t="str">
        <x:v>Non-renewal</x:v>
      </x:c>
      <x:c r="J44" s="15" t="str">
        <x:v>non-renewal</x:v>
      </x:c>
      <x:c r="K44" s="15" t="str">
        <x:v>Match</x:v>
      </x:c>
      <x:c r="L44" s="15" t="str">
        <x:v>Yes</x:v>
      </x:c>
      <x:c r="M44" s="15" t="str">
        <x:v>No</x:v>
      </x:c>
      <x:c r="N44" s="15" t="str">
        <x:v>PDF p.1 opening; p.10 §10.1</x:v>
      </x:c>
      <x:c r="O44" s="15" t="str"/>
      <x:c r="P44" s="15" t="str">
        <x:v>[PDF page 1] 'made and entered into as of the 12th day of November, 2019 (the "Effective Date")'; [PDF page 10] Section 10.1: 'The initial term of this Agreement shall commence on the Effective Date and end on the five (5) year anniversary of the Effective Date (the "Initial Term"), unless sooner terminated pursuant to the terms hereof. Upon expiration of the Initial Term of this Agreement, this Agreement will automatically renew for additional, successive five (5) year periods unless either Party provides the other Party written notice of its desire to terminate at least one hundred twenty (120) days prior to the end of the Initial Term or any renewal.'; [PDF page 15] Signature block states 'executed...as of the date first set forth above' with signature lines for all parties but no individual signature dates shown.</x:v>
      </x:c>
      <x:c r="Q44" s="15" t="str">
        <x:v>Match</x:v>
      </x:c>
      <x:c r="R44" s="15" t="str">
        <x:v>Match</x:v>
      </x:c>
      <x:c r="S44" s="15" t="str">
        <x:v>Match</x:v>
      </x:c>
      <x:c r="T44" s="15" t="str">
        <x:v>No queued issue</x:v>
      </x:c>
      <x:c r="U44" s="15" t="str">
        <x:v>Primary reference notice amount, unit, actor and purpose semantically agree. Additional notice rights not assessed for completeness.</x:v>
      </x:c>
    </x:row>
    <x:row r="45" ht="140" customHeight="1">
      <x:c r="A45" s="15" t="n">
        <x:v>40</x:v>
      </x:c>
      <x:c r="B45" s="15" t="str">
        <x:v>XinhuaSportsEntertainmentLtd_20070221_F-1_EX-99.4_645553_EX-99.4_Content License Agreement.pdf</x:v>
      </x:c>
      <x:c r="C45" s="15" t="str">
        <x:v>Option</x:v>
      </x:c>
      <x:c r="D45" s="15" t="str">
        <x:v>Option</x:v>
      </x:c>
      <x:c r="E45" s="15" t="str">
        <x:v>Match</x:v>
      </x:c>
      <x:c r="F45" s="15" t="str">
        <x:v>Match</x:v>
      </x:c>
      <x:c r="G45" s="15" t="str">
        <x:v>XFN to CEIS in writing at expiry of Term; no advance period specified</x:v>
      </x:c>
      <x:c r="H45" s="15" t="str">
        <x:v>Clause 7.2: written notice by XFN to CEIS at the expiry of the Term for a 10-year renewal. Clause 8.1: 30 days written notice by XFN to CEIS for voluntary termination. Clause 8.2: 30 days written notice by non-breaching party to breaching party for remediable material breach.</x:v>
      </x:c>
      <x:c r="I45" s="15" t="str">
        <x:v>Renewal request</x:v>
      </x:c>
      <x:c r="J45" s="15" t="str">
        <x:v>renewal election</x:v>
      </x:c>
      <x:c r="K45" s="15" t="str">
        <x:v>Match</x:v>
      </x:c>
      <x:c r="L45" s="15" t="str">
        <x:v>Yes</x:v>
      </x:c>
      <x:c r="M45" s="15" t="str">
        <x:v>Yes</x:v>
      </x:c>
      <x:c r="N45" s="15" t="str">
        <x:v>PDF p.1 heading/opening; p.2 definition; p.5 §§7.1–7.2</x:v>
      </x:c>
      <x:c r="O45" s="15" t="str"/>
      <x:c r="P45" s="15" t="str">
        <x:v>[PDF page 1] Agreement dated '15th day of December 2001'; parties are CEIS and XFN. [PDF page 2] Clause 1.1: 'EFFECTIVE DATE means 18 May 2000'; 'TERM means the term as set out in Clause 7.' [PDF page 5] Clause 7.1: 'This Agreement shall take effect from the Effective Date and continue in full force and effect for twenty (20) years thereafter, unless otherwise terminated in accordance with Clause 8.' Clause 7.2: 'This Agreement may be renewed for an additional term of ten (10) years by notice in writing given by XFN to CEIS at the expiry of the Term, for a consideration to be mutually agreed.' Clause 8.1: 'XFN may terminate this Agreement by giving thirty (30) days written notice to the CEIS.' [PDF pages 6-7] Signatures of both parties present but undated, executed 'on the day and year first above written' (15 December 2001).</x:v>
      </x:c>
      <x:c r="Q45" s="15" t="str">
        <x:v>Match</x:v>
      </x:c>
      <x:c r="R45" s="15" t="str">
        <x:v>Match</x:v>
      </x:c>
      <x:c r="S45" s="15" t="str">
        <x:v>No advance period preserved</x:v>
      </x:c>
      <x:c r="T45" s="15" t="str">
        <x:v>No queued issue</x:v>
      </x:c>
      <x:c r="U45" s="15" t="str">
        <x:v>No quantified advance renewal notice in reference. Model agrees on this absence or timing. Additional notices not assessed for completeness.</x:v>
      </x:c>
    </x:row>
    <x:row r="47" ht="44" customHeight="1">
      <x:c r="Q47" s="15" t="str">
        <x:v>Provenance</x:v>
      </x:c>
      <x:c r="R47" s="15" t="str">
        <x:v>SHA-256 / identifier</x:v>
      </x:c>
    </x:row>
    <x:row r="48" ht="44" customHeight="1">
      <x:c r="Q48" s="15" t="str">
        <x:v>Frozen reference SHA-256</x:v>
      </x:c>
      <x:c r="R48" s="15" t="str">
        <x:v>fef9fbf14c835aaf691074176de578ebc2e4cb99cb86136accbda90865b8be8e</x:v>
      </x:c>
    </x:row>
    <x:row r="49" ht="44" customHeight="1">
      <x:c r="Q49" s="15" t="str">
        <x:v>Predictions SHA-256</x:v>
      </x:c>
      <x:c r="R49" s="15" t="str">
        <x:v>b6d8f609f5d9b756f8036b6c929111b2f24c3243a376ceece030931e76d11dfe</x:v>
      </x:c>
    </x:row>
    <x:row r="50" ht="44" customHeight="1">
      <x:c r="Q50" s="15" t="str">
        <x:v>Prompt SHA-256</x:v>
      </x:c>
      <x:c r="R50" s="15" t="str">
        <x:v>e7b8fcda5b87b0f59e163326df76672f905481e3f2bd837e9752102acfac9292</x:v>
      </x:c>
    </x:row>
  </x:sheetData>
  <x:mergeCells>
    <x:mergeCell ref="A1:P1"/>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670000076293945" hidden="0" customWidth="1"/>
    <x:col min="2" max="2" width="27.219999313354492" hidden="0" customWidth="1"/>
    <x:col min="3" max="3" width="19.440000534057617" hidden="0" customWidth="1"/>
    <x:col min="4" max="4" width="66.66999816894531" hidden="0" customWidth="1"/>
    <x:col min="5" max="5" width="31.110000610351562" hidden="0" customWidth="1"/>
    <x:col min="6" max="6" width="16.110000610351562" hidden="0" customWidth="1"/>
  </x:cols>
  <x:sheetData>
    <x:row r="1" ht="32" customHeight="1">
      <x:c r="A1" s="2" t="str">
        <x:v>Review queue after user review</x:v>
      </x:c>
      <x:c r="B1" s="2"/>
      <x:c r="C1" s="2"/>
      <x:c r="D1" s="2"/>
      <x:c r="E1" s="2"/>
      <x:c r="F1" s="2"/>
    </x:row>
    <x:row r="5" ht="40" customHeight="1">
      <x:c r="A5" s="7" t="str">
        <x:v>ID</x:v>
      </x:c>
      <x:c r="B5" s="7" t="str">
        <x:v>Contract</x:v>
      </x:c>
      <x:c r="C5" s="7" t="str">
        <x:v>Issue</x:v>
      </x:c>
      <x:c r="D5" s="7" t="str">
        <x:v>Assessment / proposed action</x:v>
      </x:c>
      <x:c r="E5" s="7" t="str">
        <x:v>PDF evidence</x:v>
      </x:c>
      <x:c r="F5" s="7" t="str">
        <x:v>Adjudication</x:v>
      </x:c>
    </x:row>
    <x:row r="6" ht="105" customHeight="1">
      <x:c r="A6" s="4" t="n">
        <x:v>3</x:v>
      </x:c>
      <x:c r="B6" s="4" t="str">
        <x:v>AzulSa</x:v>
      </x:c>
      <x:c r="C6" s="4" t="str">
        <x:v>Category disagreement</x:v>
      </x:c>
      <x:c r="D6" s="4" t="str">
        <x:v>Renewal wording in §3.2 is redacted; the annual-renewal reference on p.9 does not resolve the mechanism. Keep the reference as Unclear: redacted, needs human review.</x:v>
      </x:c>
      <x:c r="E6" s="4" t="str">
        <x:v>PDF p.15 §§3.1–3.3; p.9 annual-renewal reference</x:v>
      </x:c>
      <x:c r="F6" s="4" t="str">
        <x:v>Redacted - needs human review</x:v>
      </x:c>
    </x:row>
    <x:row r="7" ht="105" customHeight="1">
      <x:c r="A7" s="4" t="n">
        <x:v>4</x:v>
      </x:c>
      <x:c r="B7" s="4" t="str">
        <x:v>BizzingoInc</x:v>
      </x:c>
      <x:c r="C7" s="4" t="str">
        <x:v>Reference omission</x:v>
      </x:c>
      <x:c r="D7" s="4" t="str">
        <x:v>Frozen notice label omits Theismann’s rolling termination right: 30 days’ written notice at any time. Proposed reference addition; score remains pending.</x:v>
      </x:c>
      <x:c r="E7" s="4" t="str">
        <x:v>PDF p.6 §10(d)</x:v>
      </x:c>
      <x:c r="F7" s="4" t="str">
        <x:v>Needs human review</x:v>
      </x:c>
    </x:row>
    <x:row r="8" ht="105" customHeight="1">
      <x:c r="A8" s="4" t="n">
        <x:v>5</x:v>
      </x:c>
      <x:c r="B8" s="4" t="str">
        <x:v>CoherusBiosciencesInc</x:v>
      </x:c>
      <x:c r="C8" s="4" t="str">
        <x:v>Reference omission</x:v>
      </x:c>
      <x:c r="D8" s="4" t="str">
        <x:v>Frozen notice label omits Licensee’s 18-month convenience termination right, not effective before 12 months after First Commercial Sale. Proposed reference addition.</x:v>
      </x:c>
      <x:c r="E8" s="4" t="str">
        <x:v>PDF p.33 §15.2.5</x:v>
      </x:c>
      <x:c r="F8" s="4" t="str">
        <x:v>Needs human review</x:v>
      </x:c>
    </x:row>
    <x:row r="9" ht="105" customHeight="1">
      <x:c r="A9" s="4" t="n">
        <x:v>9</x:v>
      </x:c>
      <x:c r="B9" s="4" t="str">
        <x:v>GentechHoldingsInc</x:v>
      </x:c>
      <x:c r="C9" s="4" t="str">
        <x:v>Notice ambiguity</x:v>
      </x:c>
      <x:c r="D9" s="4" t="str">
        <x:v>Contract says prior written notice “within Ninety (90) days of the end”. Model’s “90 days prior” wording may convert an election window into a lead-time requirement.</x:v>
      </x:c>
      <x:c r="E9" s="4" t="str">
        <x:v>PDF p.8 §7(b)</x:v>
      </x:c>
      <x:c r="F9" s="4" t="str">
        <x:v>Needs human review</x:v>
      </x:c>
    </x:row>
    <x:row r="10" ht="105" customHeight="1">
      <x:c r="A10" s="4" t="n">
        <x:v>11</x:v>
      </x:c>
      <x:c r="B10" s="4" t="str">
        <x:v>GpaqAcquisitionHoldingsInc</x:v>
      </x:c>
      <x:c r="C10" s="4" t="str">
        <x:v>Missed calculability</x:v>
      </x:c>
      <x:c r="D10" s="4" t="str">
        <x:v>Model says No because Closing date is unknown, but initial term ends explicitly December 31, 2034 and requires six months’ notice. The expiry date is sufficient for initial cutoff calculation.</x:v>
      </x:c>
      <x:c r="E10" s="4" t="str">
        <x:v>PDF p.8 §4.1</x:v>
      </x:c>
      <x:c r="F10" s="4" t="str">
        <x:v>Needs human review</x:v>
      </x:c>
    </x:row>
    <x:row r="11" ht="135" customHeight="1">
      <x:c r="A11" s="4" t="n">
        <x:v>12</x:v>
      </x:c>
      <x:c r="B11" s="4" t="str">
        <x:v>HfEnterprisesInc</x:v>
      </x:c>
      <x:c r="C11" s="4" t="str">
        <x:v>Reference omission</x:v>
      </x:c>
      <x:c r="D11" s="4" t="str">
        <x:v>Both 30-day notice rules are already captured in v6 notice_period and evidence: §2.1 prevents renewal, §2.2.1 allows early termination. Prose capture complete. The single notice_type field says only rolling termination, so mixed classification is incomplete. Deadline reasoning remains unscored.</x:v>
      </x:c>
      <x:c r="E11" s="4" t="str">
        <x:v>PDF p.1 §§2.1 and 2.2.1</x:v>
      </x:c>
      <x:c r="F11" s="4" t="str">
        <x:v>Both captured in prose; type incomplete</x:v>
      </x:c>
    </x:row>
    <x:row r="12" ht="105" customHeight="1">
      <x:c r="A12" s="4" t="n">
        <x:v>26</x:v>
      </x:c>
      <x:c r="B12" s="4" t="str">
        <x:v>RaeSystemsInc</x:v>
      </x:c>
      <x:c r="C12" s="4" t="str">
        <x:v>Reference omission</x:v>
      </x:c>
      <x:c r="D12" s="4" t="str">
        <x:v>Frozen notice rule names only NETTAXI; §8.2 also permits SpinRecords.com to terminate on 60 days’ written notice. Model party attribution is supported.</x:v>
      </x:c>
      <x:c r="E12" s="4" t="str">
        <x:v>PDF p.4 §8.2</x:v>
      </x:c>
      <x:c r="F12" s="4" t="str">
        <x:v>Needs human review</x:v>
      </x:c>
    </x:row>
    <x:row r="13" ht="105" customHeight="1">
      <x:c r="A13" s="4" t="n">
        <x:v>32</x:v>
      </x:c>
      <x:c r="B13" s="4" t="str">
        <x:v>StaarSurgicalCompany</x:v>
      </x:c>
      <x:c r="C13" s="4" t="str">
        <x:v>Reference omission</x:v>
      </x:c>
      <x:c r="D13" s="4" t="str">
        <x:v>Frozen notice classification focuses on mutual renewal agreement and omits either party’s 90-day termination without cause. Proposed reference addition.</x:v>
      </x:c>
      <x:c r="E13" s="4" t="str">
        <x:v>PDF p.10 §14.3</x:v>
      </x:c>
      <x:c r="F13" s="4" t="str">
        <x:v>Needs human review</x:v>
      </x:c>
    </x:row>
    <x:row r="14" ht="105" customHeight="1">
      <x:c r="A14" s="4" t="n">
        <x:v>33</x:v>
      </x:c>
      <x:c r="B14" s="4" t="str">
        <x:v>SteelVaultCorp</x:v>
      </x:c>
      <x:c r="C14" s="4" t="str">
        <x:v>Model notice classification</x:v>
      </x:c>
      <x:c r="D14" s="4" t="str">
        <x:v>§7.2 notice is expressly termination WITH CAUSE. Model labels it rolling termination; frozen renewal-relevant notice label is none stated.</x:v>
      </x:c>
      <x:c r="E14" s="4" t="str">
        <x:v>PDF p.2 §7.2</x:v>
      </x:c>
      <x:c r="F14" s="4" t="str">
        <x:v>Needs human review</x:v>
      </x:c>
    </x:row>
    <x:row r="15" ht="105" customHeight="1">
      <x:c r="A15" s="4" t="n">
        <x:v>34</x:v>
      </x:c>
      <x:c r="B15" s="4" t="str">
        <x:v>TodosMedicalLtd</x:v>
      </x:c>
      <x:c r="C15" s="4" t="str">
        <x:v>Category disagreement</x:v>
      </x:c>
      <x:c r="D15" s="4" t="str">
        <x:v>Initial five-year extension requires Annual Milestones. Frozen label Conditional; model Automatic appears to emphasize later two-year automatic renewals.</x:v>
      </x:c>
      <x:c r="E15" s="4" t="str">
        <x:v>PDF p.8 §11.1</x:v>
      </x:c>
      <x:c r="F15" s="4" t="str">
        <x:v>Needs human review</x:v>
      </x:c>
    </x:row>
    <x:row r="16" ht="105" customHeight="1">
      <x:c r="A16" s="4" t="n">
        <x:v>37</x:v>
      </x:c>
      <x:c r="B16" s="4" t="str">
        <x:v>VertexEnergyInc</x:v>
      </x:c>
      <x:c r="C16" s="4" t="str">
        <x:v>Unsupported time unit</x:v>
      </x:c>
      <x:c r="D16" s="4" t="str">
        <x:v>§5.2 literally says “no less than 120 prior”, without a unit. Model supplies “days”. §5.4 separately says 120 days for unwinding. Clarification needed before exact-period/deadline scoring.</x:v>
      </x:c>
      <x:c r="E16" s="4" t="str">
        <x:v>PDF p.8 §§5.2 and 5.4</x:v>
      </x:c>
      <x:c r="F16" s="4" t="str">
        <x:v>Needs human review</x:v>
      </x:c>
    </x:row>
    <x:row r="17" ht="105" customHeight="1">
      <x:c r="A17" s="4" t="n">
        <x:v>38</x:v>
      </x:c>
      <x:c r="B17" s="4" t="str">
        <x:v>VitalibisInc</x:v>
      </x:c>
      <x:c r="C17" s="4" t="str">
        <x:v>Multiple notices</x:v>
      </x:c>
      <x:c r="D17" s="4" t="str">
        <x:v>Frozen notice type non-renewal; model unclear. §10.1 includes both 180-day pre-expiry notice and a Licensee termination right regardless of term. Review scope and acceptable classification.</x:v>
      </x:c>
      <x:c r="E17" s="4" t="str">
        <x:v>PDF p.5 §10.1</x:v>
      </x:c>
      <x:c r="F17" s="4" t="str">
        <x:v>Needs human review</x:v>
      </x:c>
    </x:row>
  </x:sheetData>
  <x:mergeCells>
    <x:mergeCell ref="A1:F1"/>
  </x:mergeCells>
  <x:pageMargins left="0.7" right="0.7" top="0.75" bottom="0.75" header="0.3" footer="0.3"/>
</x:worksheet>
</file>